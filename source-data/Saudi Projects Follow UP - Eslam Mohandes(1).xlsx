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6A0E77C-9A41-42F2-9141-A658F540BA4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ashboard" sheetId="10" r:id="rId1"/>
    <sheet name="Search" sheetId="18" r:id="rId2"/>
    <sheet name="Projects Follow UP" sheetId="1" r:id="rId3"/>
    <sheet name="Hot Leads" sheetId="5" r:id="rId4"/>
    <sheet name="Master Plan (2)" sheetId="21" r:id="rId5"/>
    <sheet name="Master Report" sheetId="17" r:id="rId6"/>
    <sheet name="Data Validation" sheetId="9" r:id="rId7"/>
    <sheet name="Won Deals" sheetId="11" r:id="rId8"/>
  </sheets>
  <definedNames>
    <definedName name="_xlnm._FilterDatabase" localSheetId="4" hidden="1">'Master Plan (2)'!$A$1:$K$122</definedName>
    <definedName name="_xlnm._FilterDatabase" localSheetId="5" hidden="1">'Master Report'!$A$1:$K$313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8" i="21" l="1"/>
  <c r="B587" i="21"/>
  <c r="B586" i="21"/>
  <c r="B585" i="21"/>
  <c r="B584" i="21"/>
  <c r="B583" i="21"/>
  <c r="B582" i="21"/>
  <c r="B581" i="21"/>
  <c r="B580" i="21"/>
  <c r="B579" i="21"/>
  <c r="B578" i="21"/>
  <c r="B577" i="21"/>
  <c r="B576" i="21"/>
  <c r="B575" i="21"/>
  <c r="B574" i="21"/>
  <c r="B573" i="21"/>
  <c r="B572" i="21"/>
  <c r="B571" i="21"/>
  <c r="B570" i="21"/>
  <c r="B569" i="21"/>
  <c r="B568" i="21"/>
  <c r="B567" i="21"/>
  <c r="B566" i="21"/>
  <c r="B565" i="21"/>
  <c r="B564" i="21"/>
  <c r="B563" i="21"/>
  <c r="B562" i="21"/>
  <c r="B561" i="21"/>
  <c r="B560" i="21"/>
  <c r="B559" i="21"/>
  <c r="B558" i="21"/>
  <c r="B557" i="21"/>
  <c r="B556" i="21"/>
  <c r="B555" i="21"/>
  <c r="B554" i="21"/>
  <c r="B553" i="21"/>
  <c r="B552" i="21"/>
  <c r="B551" i="21"/>
  <c r="B550" i="21"/>
  <c r="B549" i="21"/>
  <c r="B548" i="21"/>
  <c r="B547" i="21"/>
  <c r="B546" i="21"/>
  <c r="B960" i="17"/>
  <c r="B508" i="21"/>
  <c r="B518" i="21"/>
  <c r="B519" i="21"/>
  <c r="B520" i="21"/>
  <c r="B521" i="21"/>
  <c r="B522" i="21"/>
  <c r="B523" i="21"/>
  <c r="B524" i="21"/>
  <c r="B545" i="21"/>
  <c r="B544" i="21"/>
  <c r="B543" i="21"/>
  <c r="B542" i="21"/>
  <c r="B541" i="21"/>
  <c r="B540" i="21"/>
  <c r="B539" i="21"/>
  <c r="B538" i="21"/>
  <c r="B537" i="21"/>
  <c r="B536" i="21"/>
  <c r="B535" i="21"/>
  <c r="B534" i="21"/>
  <c r="B533" i="21"/>
  <c r="B532" i="21"/>
  <c r="B531" i="21"/>
  <c r="B530" i="21"/>
  <c r="B529" i="21"/>
  <c r="B528" i="21"/>
  <c r="B527" i="21"/>
  <c r="B526" i="21"/>
  <c r="B525" i="21"/>
  <c r="B517" i="21"/>
  <c r="B516" i="21"/>
  <c r="B515" i="21"/>
  <c r="B514" i="21"/>
  <c r="B513" i="21"/>
  <c r="B512" i="21"/>
  <c r="B511" i="21"/>
  <c r="B510" i="21"/>
  <c r="B509" i="21"/>
  <c r="B507" i="21"/>
  <c r="B506" i="21"/>
  <c r="B505" i="21"/>
  <c r="B504" i="21"/>
  <c r="B503" i="21"/>
  <c r="B502" i="21"/>
  <c r="B501" i="21"/>
  <c r="M136" i="5" a="1"/>
  <c r="M137" i="5" a="1"/>
  <c r="M138" i="5" a="1"/>
  <c r="M139" i="5" a="1"/>
  <c r="M140" i="5" a="1"/>
  <c r="M141" i="5" a="1"/>
  <c r="M142" i="5" a="1"/>
  <c r="M143" i="5" a="1"/>
  <c r="M144" i="5" a="1"/>
  <c r="M145" i="5" a="1"/>
  <c r="M146" i="5" a="1"/>
  <c r="M147" i="5" a="1"/>
  <c r="M148" i="5" a="1"/>
  <c r="M149" i="5" a="1"/>
  <c r="M150" i="5" a="1"/>
  <c r="M151" i="5" a="1"/>
  <c r="B920" i="17"/>
  <c r="B465" i="21"/>
  <c r="B457" i="21"/>
  <c r="B458" i="21"/>
  <c r="B459" i="21"/>
  <c r="B460" i="21"/>
  <c r="B461" i="21"/>
  <c r="B462" i="21"/>
  <c r="B463" i="21"/>
  <c r="B464" i="21"/>
  <c r="B466" i="21"/>
  <c r="B467" i="21"/>
  <c r="B468" i="21"/>
  <c r="B469" i="21"/>
  <c r="B470" i="21"/>
  <c r="B471" i="21"/>
  <c r="B472" i="21"/>
  <c r="B473" i="21"/>
  <c r="B474" i="21"/>
  <c r="B475" i="21"/>
  <c r="B476" i="21"/>
  <c r="B477" i="21"/>
  <c r="B478" i="21"/>
  <c r="B479" i="21"/>
  <c r="B480" i="21"/>
  <c r="B481" i="21"/>
  <c r="B482" i="21"/>
  <c r="B483" i="21"/>
  <c r="B484" i="21"/>
  <c r="B485" i="21"/>
  <c r="B486" i="21"/>
  <c r="B487" i="21"/>
  <c r="B488" i="21"/>
  <c r="B489" i="21"/>
  <c r="B490" i="21"/>
  <c r="B491" i="21"/>
  <c r="B492" i="21"/>
  <c r="B493" i="21"/>
  <c r="B494" i="21"/>
  <c r="B495" i="21"/>
  <c r="B496" i="21"/>
  <c r="B497" i="21"/>
  <c r="B498" i="21"/>
  <c r="B499" i="21"/>
  <c r="B500" i="21"/>
  <c r="M135" i="5" a="1"/>
  <c r="M134" i="5" a="1"/>
  <c r="M133" i="5" a="1"/>
  <c r="M132" i="5" a="1"/>
  <c r="M131" i="5" a="1"/>
  <c r="M130" i="5" a="1"/>
  <c r="M129" i="5" a="1"/>
  <c r="M128" i="5" a="1"/>
  <c r="M127" i="5" a="1"/>
  <c r="M126" i="5" a="1"/>
  <c r="M125" i="5" a="1"/>
  <c r="M124" i="5" a="1"/>
  <c r="B417" i="21"/>
  <c r="B876" i="17"/>
  <c r="M121" i="5" a="1"/>
  <c r="M122" i="5" a="1"/>
  <c r="M123" i="5" a="1"/>
  <c r="M114" i="5" a="1"/>
  <c r="M113" i="5" a="1"/>
  <c r="B414" i="21"/>
  <c r="B413" i="21"/>
  <c r="B412" i="21"/>
  <c r="B411" i="21"/>
  <c r="B410" i="21"/>
  <c r="B409" i="21"/>
  <c r="B408" i="21"/>
  <c r="B407" i="21"/>
  <c r="B406" i="21"/>
  <c r="B405" i="21"/>
  <c r="B404" i="21"/>
  <c r="B403" i="21"/>
  <c r="B402" i="21"/>
  <c r="B401" i="21"/>
  <c r="B400" i="21"/>
  <c r="B399" i="21"/>
  <c r="B398" i="21"/>
  <c r="B397" i="21"/>
  <c r="B396" i="21"/>
  <c r="B395" i="21"/>
  <c r="B394" i="21"/>
  <c r="B393" i="21"/>
  <c r="B392" i="21"/>
  <c r="B391" i="21"/>
  <c r="B390" i="21"/>
  <c r="B389" i="21"/>
  <c r="B388" i="21"/>
  <c r="B387" i="21"/>
  <c r="B386" i="21"/>
  <c r="B385" i="21"/>
  <c r="B384" i="21"/>
  <c r="B383" i="21"/>
  <c r="B382" i="21"/>
  <c r="B381" i="21"/>
  <c r="B380" i="21"/>
  <c r="B379" i="21"/>
  <c r="B378" i="21"/>
  <c r="B377" i="21"/>
  <c r="B376" i="21"/>
  <c r="B375" i="21"/>
  <c r="B374" i="21"/>
  <c r="L72" i="10"/>
  <c r="L71" i="10"/>
  <c r="L70" i="10"/>
  <c r="L69" i="10"/>
  <c r="L68" i="10"/>
  <c r="L67" i="10"/>
  <c r="L66" i="10"/>
  <c r="L65" i="10"/>
  <c r="L64" i="10"/>
  <c r="L63" i="10"/>
  <c r="L62" i="10"/>
  <c r="L61" i="10"/>
  <c r="S139" i="1" a="1"/>
  <c r="S138" i="1" a="1"/>
  <c r="S137" i="1" a="1"/>
  <c r="S136" i="1" a="1"/>
  <c r="S135" i="1" a="1"/>
  <c r="S134" i="1" a="1"/>
  <c r="S133" i="1" a="1"/>
  <c r="S132" i="1" a="1"/>
  <c r="S131" i="1" a="1"/>
  <c r="S130" i="1" a="1"/>
  <c r="S129" i="1" a="1"/>
  <c r="S128" i="1" a="1"/>
  <c r="S127" i="1" a="1"/>
  <c r="S126" i="1" a="1"/>
  <c r="S125" i="1" a="1"/>
  <c r="S124" i="1" a="1"/>
  <c r="S123" i="1" a="1"/>
  <c r="S122" i="1" a="1"/>
  <c r="S121" i="1" a="1"/>
  <c r="S120" i="1" a="1"/>
  <c r="S119" i="1" a="1"/>
  <c r="S118" i="1" a="1"/>
  <c r="S117" i="1" a="1"/>
  <c r="S116" i="1" a="1"/>
  <c r="S115" i="1" a="1"/>
  <c r="S114" i="1" a="1"/>
  <c r="S113" i="1" a="1"/>
  <c r="S112" i="1" a="1"/>
  <c r="S111" i="1" a="1"/>
  <c r="S110" i="1" a="1"/>
  <c r="S109" i="1" a="1"/>
  <c r="S108" i="1" a="1"/>
  <c r="S107" i="1" a="1"/>
  <c r="S106" i="1" a="1"/>
  <c r="S105" i="1" a="1"/>
  <c r="S104" i="1" a="1"/>
  <c r="S103" i="1" a="1"/>
  <c r="S102" i="1" a="1"/>
  <c r="S101" i="1" a="1"/>
  <c r="S100" i="1" a="1"/>
  <c r="S99" i="1" a="1"/>
  <c r="S98" i="1" a="1"/>
  <c r="S97" i="1" a="1"/>
  <c r="S96" i="1" a="1"/>
  <c r="S95" i="1" a="1"/>
  <c r="S94" i="1" a="1"/>
  <c r="S93" i="1" a="1"/>
  <c r="S92" i="1" a="1"/>
  <c r="S91" i="1" a="1"/>
  <c r="S90" i="1" a="1"/>
  <c r="S89" i="1" a="1"/>
  <c r="S88" i="1" a="1"/>
  <c r="S87" i="1" a="1"/>
  <c r="S86" i="1" a="1"/>
  <c r="S85" i="1" a="1"/>
  <c r="S84" i="1" a="1"/>
  <c r="S83" i="1" a="1"/>
  <c r="S82" i="1" a="1"/>
  <c r="S81" i="1" a="1"/>
  <c r="S80" i="1" a="1"/>
  <c r="S79" i="1" a="1"/>
  <c r="S78" i="1" a="1"/>
  <c r="S77" i="1" a="1"/>
  <c r="S76" i="1" a="1"/>
  <c r="S75" i="1" a="1"/>
  <c r="S74" i="1" a="1"/>
  <c r="S73" i="1" a="1"/>
  <c r="S72" i="1" a="1"/>
  <c r="S71" i="1" a="1"/>
  <c r="S70" i="1" a="1"/>
  <c r="S69" i="1" a="1"/>
  <c r="S68" i="1" a="1"/>
  <c r="S67" i="1" a="1"/>
  <c r="S66" i="1" a="1"/>
  <c r="S65" i="1" a="1"/>
  <c r="S64" i="1" a="1"/>
  <c r="S63" i="1" a="1"/>
  <c r="S62" i="1" a="1"/>
  <c r="S61" i="1" a="1"/>
  <c r="S60" i="1" a="1"/>
  <c r="S59" i="1" a="1"/>
  <c r="S58" i="1" a="1"/>
  <c r="S57" i="1" a="1"/>
  <c r="S56" i="1" a="1"/>
  <c r="S55" i="1" a="1"/>
  <c r="S54" i="1" a="1"/>
  <c r="S53" i="1" a="1"/>
  <c r="S52" i="1" a="1"/>
  <c r="S51" i="1" a="1"/>
  <c r="S50" i="1" a="1"/>
  <c r="S49" i="1" a="1"/>
  <c r="S48" i="1" a="1"/>
  <c r="S47" i="1" a="1"/>
  <c r="S46" i="1" a="1"/>
  <c r="S45" i="1" a="1"/>
  <c r="S44" i="1" a="1"/>
  <c r="S43" i="1" a="1"/>
  <c r="S42" i="1" a="1"/>
  <c r="S41" i="1" a="1"/>
  <c r="S40" i="1" a="1"/>
  <c r="S39" i="1" a="1"/>
  <c r="S38" i="1" a="1"/>
  <c r="S37" i="1" a="1"/>
  <c r="S36" i="1" a="1"/>
  <c r="S35" i="1" a="1"/>
  <c r="S34" i="1" a="1"/>
  <c r="S33" i="1" a="1"/>
  <c r="S32" i="1" a="1"/>
  <c r="S31" i="1" a="1"/>
  <c r="S30" i="1" a="1"/>
  <c r="S29" i="1" a="1"/>
  <c r="S28" i="1" a="1"/>
  <c r="S27" i="1" a="1"/>
  <c r="S26" i="1" a="1"/>
  <c r="S25" i="1" a="1"/>
  <c r="S24" i="1" a="1"/>
  <c r="S23" i="1" a="1"/>
  <c r="S22" i="1" a="1"/>
  <c r="S21" i="1" a="1"/>
  <c r="S20" i="1" a="1"/>
  <c r="S19" i="1" a="1"/>
  <c r="S18" i="1" a="1"/>
  <c r="S17" i="1" a="1"/>
  <c r="S16" i="1" a="1"/>
  <c r="S15" i="1" a="1"/>
  <c r="S14" i="1" a="1"/>
  <c r="S13" i="1" a="1"/>
  <c r="S12" i="1" a="1"/>
  <c r="S11" i="1" a="1"/>
  <c r="S10" i="1" a="1"/>
  <c r="S9" i="1" a="1"/>
  <c r="S8" i="1" a="1"/>
  <c r="S7" i="1" a="1"/>
  <c r="S6" i="1" a="1"/>
  <c r="R139" i="1" a="1"/>
  <c r="R138" i="1" a="1"/>
  <c r="R137" i="1" a="1"/>
  <c r="R136" i="1" a="1"/>
  <c r="R135" i="1" a="1"/>
  <c r="R134" i="1" a="1"/>
  <c r="R133" i="1" a="1"/>
  <c r="R132" i="1" a="1"/>
  <c r="R131" i="1" a="1"/>
  <c r="R130" i="1" a="1"/>
  <c r="R129" i="1" a="1"/>
  <c r="R128" i="1" a="1"/>
  <c r="R127" i="1" a="1"/>
  <c r="R126" i="1" a="1"/>
  <c r="R125" i="1" a="1"/>
  <c r="R124" i="1" a="1"/>
  <c r="R123" i="1" a="1"/>
  <c r="R122" i="1" a="1"/>
  <c r="R121" i="1" a="1"/>
  <c r="R120" i="1" a="1"/>
  <c r="R119" i="1" a="1"/>
  <c r="R118" i="1" a="1"/>
  <c r="R117" i="1" a="1"/>
  <c r="R116" i="1" a="1"/>
  <c r="R115" i="1" a="1"/>
  <c r="R114" i="1" a="1"/>
  <c r="R113" i="1" a="1"/>
  <c r="R112" i="1" a="1"/>
  <c r="R111" i="1" a="1"/>
  <c r="R110" i="1" a="1"/>
  <c r="R109" i="1" a="1"/>
  <c r="R108" i="1" a="1"/>
  <c r="R107" i="1" a="1"/>
  <c r="R106" i="1" a="1"/>
  <c r="R105" i="1" a="1"/>
  <c r="R104" i="1" a="1"/>
  <c r="R103" i="1" a="1"/>
  <c r="R102" i="1" a="1"/>
  <c r="R101" i="1" a="1"/>
  <c r="R100" i="1" a="1"/>
  <c r="R99" i="1" a="1"/>
  <c r="R98" i="1" a="1"/>
  <c r="R97" i="1" a="1"/>
  <c r="R96" i="1" a="1"/>
  <c r="R95" i="1" a="1"/>
  <c r="R94" i="1" a="1"/>
  <c r="R93" i="1" a="1"/>
  <c r="R92" i="1" a="1"/>
  <c r="R91" i="1" a="1"/>
  <c r="R90" i="1" a="1"/>
  <c r="R89" i="1" a="1"/>
  <c r="R88" i="1" a="1"/>
  <c r="R87" i="1" a="1"/>
  <c r="R86" i="1" a="1"/>
  <c r="R85" i="1" a="1"/>
  <c r="R84" i="1" a="1"/>
  <c r="R83" i="1" a="1"/>
  <c r="R82" i="1" a="1"/>
  <c r="R81" i="1" a="1"/>
  <c r="R80" i="1" a="1"/>
  <c r="R79" i="1" a="1"/>
  <c r="R78" i="1" a="1"/>
  <c r="R77" i="1" a="1"/>
  <c r="R76" i="1" a="1"/>
  <c r="R75" i="1" a="1"/>
  <c r="R74" i="1" a="1"/>
  <c r="R73" i="1" a="1"/>
  <c r="R72" i="1" a="1"/>
  <c r="R71" i="1" a="1"/>
  <c r="R70" i="1" a="1"/>
  <c r="R69" i="1" a="1"/>
  <c r="R68" i="1" a="1"/>
  <c r="R67" i="1" a="1"/>
  <c r="R66" i="1" a="1"/>
  <c r="R65" i="1" a="1"/>
  <c r="R64" i="1" a="1"/>
  <c r="R63" i="1" a="1"/>
  <c r="R62" i="1" a="1"/>
  <c r="R61" i="1" a="1"/>
  <c r="R60" i="1" a="1"/>
  <c r="R59" i="1" a="1"/>
  <c r="R58" i="1" a="1"/>
  <c r="R57" i="1" a="1"/>
  <c r="R56" i="1" a="1"/>
  <c r="R55" i="1" a="1"/>
  <c r="R54" i="1" a="1"/>
  <c r="R53" i="1" a="1"/>
  <c r="R52" i="1" a="1"/>
  <c r="R51" i="1" a="1"/>
  <c r="R50" i="1" a="1"/>
  <c r="R49" i="1" a="1"/>
  <c r="R48" i="1" a="1"/>
  <c r="R47" i="1" a="1"/>
  <c r="R46" i="1" a="1"/>
  <c r="R45" i="1" a="1"/>
  <c r="R44" i="1" a="1"/>
  <c r="R43" i="1" a="1"/>
  <c r="R42" i="1" a="1"/>
  <c r="R41" i="1" a="1"/>
  <c r="R40" i="1" a="1"/>
  <c r="R39" i="1" a="1"/>
  <c r="R38" i="1" a="1"/>
  <c r="R37" i="1" a="1"/>
  <c r="R36" i="1" a="1"/>
  <c r="R35" i="1" a="1"/>
  <c r="R34" i="1" a="1"/>
  <c r="R33" i="1" a="1"/>
  <c r="R32" i="1" a="1"/>
  <c r="R31" i="1" a="1"/>
  <c r="R30" i="1" a="1"/>
  <c r="R29" i="1" a="1"/>
  <c r="R28" i="1" a="1"/>
  <c r="R27" i="1" a="1"/>
  <c r="R26" i="1" a="1"/>
  <c r="R25" i="1" a="1"/>
  <c r="R24" i="1" a="1"/>
  <c r="R23" i="1" a="1"/>
  <c r="R22" i="1" a="1"/>
  <c r="R21" i="1" a="1"/>
  <c r="R20" i="1" a="1"/>
  <c r="R19" i="1" a="1"/>
  <c r="R18" i="1" a="1"/>
  <c r="R17" i="1" a="1"/>
  <c r="R16" i="1" a="1"/>
  <c r="R15" i="1" a="1"/>
  <c r="R14" i="1" a="1"/>
  <c r="R13" i="1" a="1"/>
  <c r="R12" i="1" a="1"/>
  <c r="R11" i="1" a="1"/>
  <c r="R10" i="1" a="1"/>
  <c r="R9" i="1" a="1"/>
  <c r="R8" i="1" a="1"/>
  <c r="R7" i="1" a="1"/>
  <c r="R6" i="1" a="1"/>
  <c r="S5" i="1" a="1"/>
  <c r="R5" i="1" a="1"/>
  <c r="N155" i="5" a="1"/>
  <c r="N154" i="5" a="1"/>
  <c r="N153" i="5" a="1"/>
  <c r="N152" i="5" a="1"/>
  <c r="N120" i="5" a="1"/>
  <c r="N119" i="5" a="1"/>
  <c r="N118" i="5" a="1"/>
  <c r="N117" i="5" a="1"/>
  <c r="N116" i="5" a="1"/>
  <c r="N115" i="5" a="1"/>
  <c r="N113" i="5" a="1"/>
  <c r="N112" i="5" a="1"/>
  <c r="N111" i="5" a="1"/>
  <c r="N110" i="5" a="1"/>
  <c r="N109" i="5" a="1"/>
  <c r="N108" i="5" a="1"/>
  <c r="N107" i="5" a="1"/>
  <c r="N106" i="5" a="1"/>
  <c r="N105" i="5" a="1"/>
  <c r="N104" i="5" a="1"/>
  <c r="N103" i="5" a="1"/>
  <c r="N102" i="5" a="1"/>
  <c r="N101" i="5" a="1"/>
  <c r="N100" i="5" a="1"/>
  <c r="N99" i="5" a="1"/>
  <c r="N98" i="5" a="1"/>
  <c r="N97" i="5" a="1"/>
  <c r="N96" i="5" a="1"/>
  <c r="N95" i="5" a="1"/>
  <c r="N94" i="5" a="1"/>
  <c r="N93" i="5" a="1"/>
  <c r="N92" i="5" a="1"/>
  <c r="N91" i="5" a="1"/>
  <c r="N90" i="5" a="1"/>
  <c r="N89" i="5" a="1"/>
  <c r="N88" i="5" a="1"/>
  <c r="N87" i="5" a="1"/>
  <c r="N86" i="5" a="1"/>
  <c r="N85" i="5" a="1"/>
  <c r="N84" i="5" a="1"/>
  <c r="N83" i="5" a="1"/>
  <c r="N82" i="5" a="1"/>
  <c r="N81" i="5" a="1"/>
  <c r="N80" i="5" a="1"/>
  <c r="N79" i="5" a="1"/>
  <c r="N78" i="5" a="1"/>
  <c r="N77" i="5" a="1"/>
  <c r="N76" i="5" a="1"/>
  <c r="N75" i="5" a="1"/>
  <c r="N74" i="5" a="1"/>
  <c r="N73" i="5" a="1"/>
  <c r="N72" i="5" a="1"/>
  <c r="N71" i="5" a="1"/>
  <c r="N70" i="5" a="1"/>
  <c r="N69" i="5" a="1"/>
  <c r="N68" i="5" a="1"/>
  <c r="N67" i="5" a="1"/>
  <c r="N66" i="5" a="1"/>
  <c r="N65" i="5" a="1"/>
  <c r="N64" i="5" a="1"/>
  <c r="N63" i="5" a="1"/>
  <c r="N62" i="5" a="1"/>
  <c r="N61" i="5" a="1"/>
  <c r="N60" i="5" a="1"/>
  <c r="N59" i="5" a="1"/>
  <c r="N58" i="5" a="1"/>
  <c r="N57" i="5" a="1"/>
  <c r="N56" i="5" a="1"/>
  <c r="N55" i="5" a="1"/>
  <c r="N54" i="5" a="1"/>
  <c r="N53" i="5" a="1"/>
  <c r="N52" i="5" a="1"/>
  <c r="N51" i="5" a="1"/>
  <c r="N50" i="5" a="1"/>
  <c r="N49" i="5" a="1"/>
  <c r="N48" i="5" a="1"/>
  <c r="N47" i="5" a="1"/>
  <c r="N46" i="5" a="1"/>
  <c r="N45" i="5" a="1"/>
  <c r="N44" i="5" a="1"/>
  <c r="N43" i="5" a="1"/>
  <c r="N42" i="5" a="1"/>
  <c r="N41" i="5" a="1"/>
  <c r="N40" i="5" a="1"/>
  <c r="N39" i="5" a="1"/>
  <c r="N38" i="5" a="1"/>
  <c r="N37" i="5" a="1"/>
  <c r="N36" i="5" a="1"/>
  <c r="N35" i="5" a="1"/>
  <c r="N34" i="5" a="1"/>
  <c r="N33" i="5" a="1"/>
  <c r="N32" i="5" a="1"/>
  <c r="N31" i="5" a="1"/>
  <c r="N30" i="5" a="1"/>
  <c r="N29" i="5" a="1"/>
  <c r="N28" i="5" a="1"/>
  <c r="N27" i="5" a="1"/>
  <c r="N26" i="5" a="1"/>
  <c r="N25" i="5" a="1"/>
  <c r="N24" i="5" a="1"/>
  <c r="N23" i="5" a="1"/>
  <c r="N22" i="5" a="1"/>
  <c r="N21" i="5" a="1"/>
  <c r="N20" i="5" a="1"/>
  <c r="N19" i="5" a="1"/>
  <c r="N18" i="5" a="1"/>
  <c r="N17" i="5" a="1"/>
  <c r="N16" i="5" a="1"/>
  <c r="N15" i="5" a="1"/>
  <c r="N14" i="5" a="1"/>
  <c r="N13" i="5" a="1"/>
  <c r="N12" i="5" a="1"/>
  <c r="N11" i="5" a="1"/>
  <c r="N10" i="5" a="1"/>
  <c r="N9" i="5" a="1"/>
  <c r="N8" i="5" a="1"/>
  <c r="N7" i="5" a="1"/>
  <c r="N6" i="5" a="1"/>
  <c r="N5" i="5" a="1"/>
  <c r="N4" i="5" a="1"/>
  <c r="N3" i="5" a="1"/>
  <c r="M155" i="5" a="1"/>
  <c r="M154" i="5" a="1"/>
  <c r="M153" i="5" a="1"/>
  <c r="M152" i="5" a="1"/>
  <c r="M120" i="5" a="1"/>
  <c r="M119" i="5" a="1"/>
  <c r="M118" i="5" a="1"/>
  <c r="M117" i="5" a="1"/>
  <c r="M116" i="5" a="1"/>
  <c r="M115" i="5" a="1"/>
  <c r="M112" i="5" a="1"/>
  <c r="M111" i="5" a="1"/>
  <c r="M110" i="5" a="1"/>
  <c r="M109" i="5" a="1"/>
  <c r="M108" i="5" a="1"/>
  <c r="M107" i="5" a="1"/>
  <c r="M106" i="5" a="1"/>
  <c r="M105" i="5" a="1"/>
  <c r="M104" i="5" a="1"/>
  <c r="M103" i="5" a="1"/>
  <c r="M102" i="5" a="1"/>
  <c r="M101" i="5" a="1"/>
  <c r="M100" i="5" a="1"/>
  <c r="M99" i="5" a="1"/>
  <c r="M98" i="5" a="1"/>
  <c r="M97" i="5" a="1"/>
  <c r="M96" i="5" a="1"/>
  <c r="M95" i="5" a="1"/>
  <c r="M94" i="5" a="1"/>
  <c r="M93" i="5" a="1"/>
  <c r="M92" i="5" a="1"/>
  <c r="M91" i="5" a="1"/>
  <c r="M90" i="5" a="1"/>
  <c r="M89" i="5" a="1"/>
  <c r="M88" i="5" a="1"/>
  <c r="M87" i="5" a="1"/>
  <c r="M86" i="5" a="1"/>
  <c r="M85" i="5" a="1"/>
  <c r="M84" i="5" a="1"/>
  <c r="M83" i="5" a="1"/>
  <c r="M82" i="5" a="1"/>
  <c r="M81" i="5" a="1"/>
  <c r="M80" i="5" a="1"/>
  <c r="M79" i="5" a="1"/>
  <c r="M78" i="5" a="1"/>
  <c r="M77" i="5" a="1"/>
  <c r="M76" i="5" a="1"/>
  <c r="M75" i="5" a="1"/>
  <c r="M74" i="5" a="1"/>
  <c r="M73" i="5" a="1"/>
  <c r="M72" i="5" a="1"/>
  <c r="M71" i="5" a="1"/>
  <c r="M70" i="5" a="1"/>
  <c r="M69" i="5" a="1"/>
  <c r="M68" i="5" a="1"/>
  <c r="M67" i="5" a="1"/>
  <c r="M66" i="5" a="1"/>
  <c r="M65" i="5" a="1"/>
  <c r="M64" i="5" a="1"/>
  <c r="M63" i="5" a="1"/>
  <c r="M62" i="5" a="1"/>
  <c r="M61" i="5" a="1"/>
  <c r="M60" i="5" a="1"/>
  <c r="M59" i="5" a="1"/>
  <c r="M58" i="5" a="1"/>
  <c r="M57" i="5" a="1"/>
  <c r="M56" i="5" a="1"/>
  <c r="M55" i="5" a="1"/>
  <c r="M54" i="5" a="1"/>
  <c r="M53" i="5" a="1"/>
  <c r="M52" i="5" a="1"/>
  <c r="M51" i="5" a="1"/>
  <c r="M50" i="5" a="1"/>
  <c r="M49" i="5" a="1"/>
  <c r="M48" i="5" a="1"/>
  <c r="M47" i="5" a="1"/>
  <c r="M46" i="5" a="1"/>
  <c r="M45" i="5" a="1"/>
  <c r="M44" i="5" a="1"/>
  <c r="M43" i="5" a="1"/>
  <c r="M42" i="5" a="1"/>
  <c r="M41" i="5" a="1"/>
  <c r="M40" i="5" a="1"/>
  <c r="M39" i="5" a="1"/>
  <c r="M38" i="5" a="1"/>
  <c r="M37" i="5" a="1"/>
  <c r="M36" i="5" a="1"/>
  <c r="M35" i="5" a="1"/>
  <c r="M34" i="5" a="1"/>
  <c r="M33" i="5" a="1"/>
  <c r="M32" i="5" a="1"/>
  <c r="M31" i="5" a="1"/>
  <c r="M30" i="5" a="1"/>
  <c r="M29" i="5" a="1"/>
  <c r="M28" i="5" a="1"/>
  <c r="M27" i="5" a="1"/>
  <c r="M26" i="5" a="1"/>
  <c r="M25" i="5" a="1"/>
  <c r="M24" i="5" a="1"/>
  <c r="M23" i="5" a="1"/>
  <c r="M22" i="5" a="1"/>
  <c r="M21" i="5" a="1"/>
  <c r="M20" i="5" a="1"/>
  <c r="M19" i="5" a="1"/>
  <c r="M18" i="5" a="1"/>
  <c r="M17" i="5" a="1"/>
  <c r="M16" i="5" a="1"/>
  <c r="M15" i="5" a="1"/>
  <c r="M14" i="5" a="1"/>
  <c r="M13" i="5" a="1"/>
  <c r="M12" i="5" a="1"/>
  <c r="M11" i="5" a="1"/>
  <c r="M10" i="5" a="1"/>
  <c r="M9" i="5" a="1"/>
  <c r="M8" i="5" a="1"/>
  <c r="M7" i="5" a="1"/>
  <c r="M6" i="5" a="1"/>
  <c r="M5" i="5" a="1"/>
  <c r="M4" i="5" a="1"/>
  <c r="M3" i="5" a="1"/>
  <c r="N2" i="5" a="1"/>
  <c r="M2" i="5" a="1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E15" i="10"/>
  <c r="D82" i="10"/>
  <c r="D81" i="10"/>
  <c r="D80" i="10"/>
  <c r="D79" i="10"/>
  <c r="D78" i="10"/>
  <c r="C82" i="10"/>
  <c r="C81" i="10"/>
  <c r="C80" i="10"/>
  <c r="C79" i="10"/>
  <c r="C78" i="10"/>
  <c r="B82" i="10"/>
  <c r="B81" i="10"/>
  <c r="B80" i="10"/>
  <c r="B79" i="10"/>
  <c r="B78" i="10"/>
  <c r="D77" i="10"/>
  <c r="C77" i="10"/>
  <c r="B77" i="10"/>
  <c r="B332" i="21"/>
  <c r="B813" i="17"/>
  <c r="B812" i="17"/>
  <c r="B306" i="21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210" i="21"/>
  <c r="B211" i="21"/>
  <c r="B212" i="21"/>
  <c r="B213" i="21"/>
  <c r="B214" i="21"/>
  <c r="B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29" i="21"/>
  <c r="B230" i="21"/>
  <c r="B231" i="21"/>
  <c r="B232" i="21"/>
  <c r="B233" i="21"/>
  <c r="B234" i="21"/>
  <c r="B235" i="21"/>
  <c r="B236" i="21"/>
  <c r="B237" i="21"/>
  <c r="B238" i="21"/>
  <c r="B239" i="21"/>
  <c r="B240" i="21"/>
  <c r="B241" i="21"/>
  <c r="B242" i="21"/>
  <c r="B243" i="21"/>
  <c r="B244" i="21"/>
  <c r="B245" i="21"/>
  <c r="B246" i="21"/>
  <c r="B247" i="21"/>
  <c r="B248" i="21"/>
  <c r="B249" i="21"/>
  <c r="B250" i="21"/>
  <c r="B251" i="21"/>
  <c r="B252" i="21"/>
  <c r="B253" i="21"/>
  <c r="B254" i="21"/>
  <c r="B255" i="21"/>
  <c r="B256" i="21"/>
  <c r="B257" i="21"/>
  <c r="B258" i="21"/>
  <c r="B259" i="21"/>
  <c r="B260" i="21"/>
  <c r="B261" i="21"/>
  <c r="B262" i="21"/>
  <c r="B263" i="21"/>
  <c r="B264" i="21"/>
  <c r="B265" i="21"/>
  <c r="B266" i="21"/>
  <c r="B267" i="21"/>
  <c r="B268" i="21"/>
  <c r="B269" i="21"/>
  <c r="B270" i="21"/>
  <c r="B271" i="21"/>
  <c r="B272" i="21"/>
  <c r="B273" i="21"/>
  <c r="B274" i="21"/>
  <c r="B275" i="21"/>
  <c r="B276" i="21"/>
  <c r="B277" i="21"/>
  <c r="B278" i="21"/>
  <c r="B279" i="21"/>
  <c r="B280" i="21"/>
  <c r="B281" i="21"/>
  <c r="B282" i="21"/>
  <c r="B283" i="21"/>
  <c r="B284" i="21"/>
  <c r="B285" i="21"/>
  <c r="B286" i="21"/>
  <c r="B287" i="21"/>
  <c r="B288" i="21"/>
  <c r="B289" i="21"/>
  <c r="B290" i="21"/>
  <c r="B291" i="21"/>
  <c r="B292" i="21"/>
  <c r="B293" i="21"/>
  <c r="B294" i="21"/>
  <c r="B295" i="21"/>
  <c r="B296" i="21"/>
  <c r="B297" i="21"/>
  <c r="B298" i="21"/>
  <c r="B299" i="21"/>
  <c r="B300" i="21"/>
  <c r="B301" i="21"/>
  <c r="B302" i="21"/>
  <c r="B303" i="21"/>
  <c r="B304" i="21"/>
  <c r="B305" i="21"/>
  <c r="B307" i="21"/>
  <c r="B308" i="21"/>
  <c r="B309" i="21"/>
  <c r="B310" i="21"/>
  <c r="B311" i="21"/>
  <c r="B312" i="21"/>
  <c r="B313" i="21"/>
  <c r="B314" i="21"/>
  <c r="B315" i="21"/>
  <c r="B316" i="21"/>
  <c r="B317" i="21"/>
  <c r="B318" i="21"/>
  <c r="B319" i="21"/>
  <c r="B320" i="21"/>
  <c r="B321" i="21"/>
  <c r="B322" i="21"/>
  <c r="B323" i="21"/>
  <c r="B324" i="21"/>
  <c r="B325" i="21"/>
  <c r="B326" i="21"/>
  <c r="B327" i="21"/>
  <c r="B328" i="21"/>
  <c r="B329" i="21"/>
  <c r="B330" i="21"/>
  <c r="B331" i="21"/>
  <c r="B333" i="21"/>
  <c r="B334" i="21"/>
  <c r="B335" i="21"/>
  <c r="B336" i="21"/>
  <c r="B337" i="21"/>
  <c r="B338" i="21"/>
  <c r="B339" i="21"/>
  <c r="B340" i="21"/>
  <c r="B341" i="21"/>
  <c r="B342" i="21"/>
  <c r="B343" i="21"/>
  <c r="B344" i="21"/>
  <c r="B345" i="21"/>
  <c r="B346" i="21"/>
  <c r="B347" i="21"/>
  <c r="B348" i="21"/>
  <c r="B349" i="21"/>
  <c r="B350" i="21"/>
  <c r="B351" i="21"/>
  <c r="B352" i="21"/>
  <c r="B353" i="21"/>
  <c r="B354" i="21"/>
  <c r="B355" i="21"/>
  <c r="B356" i="21"/>
  <c r="B357" i="21"/>
  <c r="B358" i="21"/>
  <c r="B359" i="21"/>
  <c r="B360" i="21"/>
  <c r="B361" i="21"/>
  <c r="B362" i="21"/>
  <c r="B363" i="21"/>
  <c r="B364" i="21"/>
  <c r="B365" i="21"/>
  <c r="B366" i="21"/>
  <c r="B367" i="21"/>
  <c r="B368" i="21"/>
  <c r="B369" i="21"/>
  <c r="B370" i="21"/>
  <c r="B371" i="21"/>
  <c r="B372" i="21"/>
  <c r="B373" i="21"/>
  <c r="B415" i="21"/>
  <c r="B416" i="21"/>
  <c r="B418" i="21"/>
  <c r="B419" i="21"/>
  <c r="B420" i="21"/>
  <c r="B421" i="21"/>
  <c r="B422" i="21"/>
  <c r="B423" i="21"/>
  <c r="B424" i="21"/>
  <c r="B425" i="21"/>
  <c r="B426" i="21"/>
  <c r="B427" i="21"/>
  <c r="B428" i="21"/>
  <c r="B429" i="21"/>
  <c r="B430" i="21"/>
  <c r="B431" i="21"/>
  <c r="B432" i="21"/>
  <c r="B433" i="21"/>
  <c r="B434" i="21"/>
  <c r="B435" i="21"/>
  <c r="B436" i="21"/>
  <c r="B437" i="21"/>
  <c r="B438" i="21"/>
  <c r="B439" i="21"/>
  <c r="B440" i="21"/>
  <c r="B441" i="21"/>
  <c r="B442" i="21"/>
  <c r="B443" i="21"/>
  <c r="B444" i="21"/>
  <c r="B445" i="21"/>
  <c r="B446" i="21"/>
  <c r="B447" i="21"/>
  <c r="B448" i="21"/>
  <c r="B449" i="21"/>
  <c r="B450" i="21"/>
  <c r="B451" i="21"/>
  <c r="B452" i="21"/>
  <c r="B453" i="21"/>
  <c r="B454" i="21"/>
  <c r="B455" i="21"/>
  <c r="B456" i="21"/>
  <c r="B589" i="21"/>
  <c r="B590" i="21"/>
  <c r="B591" i="21"/>
  <c r="B592" i="21"/>
  <c r="B593" i="21"/>
  <c r="B594" i="21"/>
  <c r="B595" i="21"/>
  <c r="B596" i="21"/>
  <c r="B597" i="21"/>
  <c r="B598" i="21"/>
  <c r="B599" i="21"/>
  <c r="B600" i="21"/>
  <c r="B601" i="21"/>
  <c r="B602" i="21"/>
  <c r="B603" i="21"/>
  <c r="B604" i="21"/>
  <c r="B605" i="21"/>
  <c r="B606" i="21"/>
  <c r="B607" i="21"/>
  <c r="B608" i="21"/>
  <c r="B609" i="21"/>
  <c r="B610" i="21"/>
  <c r="B611" i="21"/>
  <c r="B612" i="21"/>
  <c r="B613" i="21"/>
  <c r="B614" i="21"/>
  <c r="B615" i="21"/>
  <c r="B616" i="21"/>
  <c r="B617" i="21"/>
  <c r="B618" i="21"/>
  <c r="B619" i="21"/>
  <c r="B620" i="21"/>
  <c r="B621" i="21"/>
  <c r="B622" i="21"/>
  <c r="B623" i="21"/>
  <c r="B624" i="21"/>
  <c r="B625" i="21"/>
  <c r="B626" i="21"/>
  <c r="B627" i="21"/>
  <c r="B628" i="21"/>
  <c r="B629" i="21"/>
  <c r="B630" i="21"/>
  <c r="B631" i="21"/>
  <c r="B632" i="21"/>
  <c r="B633" i="21"/>
  <c r="B634" i="21"/>
  <c r="B635" i="21"/>
  <c r="B636" i="21"/>
  <c r="B637" i="21"/>
  <c r="B638" i="21"/>
  <c r="B639" i="21"/>
  <c r="B640" i="21"/>
  <c r="B641" i="21"/>
  <c r="B642" i="21"/>
  <c r="B643" i="21"/>
  <c r="B644" i="21"/>
  <c r="B645" i="21"/>
  <c r="B646" i="21"/>
  <c r="B647" i="21"/>
  <c r="B648" i="21"/>
  <c r="B649" i="21"/>
  <c r="B650" i="21"/>
  <c r="B651" i="21"/>
  <c r="B652" i="21"/>
  <c r="B653" i="21"/>
  <c r="B654" i="21"/>
  <c r="B655" i="21"/>
  <c r="B656" i="21"/>
  <c r="B657" i="21"/>
  <c r="B658" i="21"/>
  <c r="B659" i="21"/>
  <c r="B660" i="21"/>
  <c r="B661" i="21"/>
  <c r="B662" i="21"/>
  <c r="B663" i="21"/>
  <c r="B664" i="21"/>
  <c r="B665" i="21"/>
  <c r="B666" i="21"/>
  <c r="B667" i="21"/>
  <c r="B668" i="21"/>
  <c r="B669" i="21"/>
  <c r="B670" i="21"/>
  <c r="B671" i="21"/>
  <c r="B672" i="21"/>
  <c r="B673" i="21"/>
  <c r="B674" i="21"/>
  <c r="B675" i="21"/>
  <c r="B676" i="21"/>
  <c r="B677" i="21"/>
  <c r="B678" i="21"/>
  <c r="B679" i="21"/>
  <c r="B680" i="21"/>
  <c r="B681" i="21"/>
  <c r="B682" i="21"/>
  <c r="B683" i="21"/>
  <c r="B684" i="21"/>
  <c r="B685" i="21"/>
  <c r="B686" i="21"/>
  <c r="B687" i="21"/>
  <c r="B688" i="21"/>
  <c r="B689" i="21"/>
  <c r="B690" i="21"/>
  <c r="B691" i="21"/>
  <c r="B692" i="21"/>
  <c r="B693" i="21"/>
  <c r="B694" i="21"/>
  <c r="B695" i="21"/>
  <c r="B696" i="21"/>
  <c r="B697" i="21"/>
  <c r="B698" i="21"/>
  <c r="B699" i="21"/>
  <c r="B700" i="21"/>
  <c r="B701" i="21"/>
  <c r="B702" i="21"/>
  <c r="B703" i="21"/>
  <c r="B704" i="21"/>
  <c r="B705" i="21"/>
  <c r="B706" i="21"/>
  <c r="B707" i="21"/>
  <c r="B708" i="21"/>
  <c r="B709" i="21"/>
  <c r="B710" i="21"/>
  <c r="B711" i="21"/>
  <c r="B712" i="21"/>
  <c r="B713" i="21"/>
  <c r="B714" i="21"/>
  <c r="B715" i="21"/>
  <c r="B716" i="21"/>
  <c r="B717" i="21"/>
  <c r="B718" i="21"/>
  <c r="B719" i="21"/>
  <c r="B720" i="21"/>
  <c r="B721" i="21"/>
  <c r="B722" i="21"/>
  <c r="B723" i="21"/>
  <c r="B724" i="21"/>
  <c r="B725" i="21"/>
  <c r="B726" i="21"/>
  <c r="B727" i="21"/>
  <c r="B728" i="21"/>
  <c r="B729" i="21"/>
  <c r="B730" i="21"/>
  <c r="B731" i="21"/>
  <c r="B732" i="21"/>
  <c r="B733" i="21"/>
  <c r="B734" i="21"/>
  <c r="B735" i="21"/>
  <c r="B736" i="21"/>
  <c r="B737" i="21"/>
  <c r="B738" i="21"/>
  <c r="B739" i="21"/>
  <c r="B740" i="21"/>
  <c r="B741" i="21"/>
  <c r="B742" i="21"/>
  <c r="B743" i="21"/>
  <c r="B744" i="21"/>
  <c r="B745" i="21"/>
  <c r="B746" i="21"/>
  <c r="B747" i="21"/>
  <c r="B748" i="21"/>
  <c r="B749" i="21"/>
  <c r="B750" i="21"/>
  <c r="B751" i="21"/>
  <c r="B752" i="21"/>
  <c r="B753" i="21"/>
  <c r="B754" i="21"/>
  <c r="B755" i="21"/>
  <c r="B756" i="21"/>
  <c r="B757" i="21"/>
  <c r="B758" i="21"/>
  <c r="B759" i="21"/>
  <c r="B760" i="21"/>
  <c r="B761" i="21"/>
  <c r="B762" i="21"/>
  <c r="B763" i="21"/>
  <c r="B764" i="21"/>
  <c r="B765" i="21"/>
  <c r="B766" i="21"/>
  <c r="B767" i="21"/>
  <c r="B768" i="21"/>
  <c r="B769" i="21"/>
  <c r="B770" i="21"/>
  <c r="B769" i="17"/>
  <c r="B723" i="17"/>
  <c r="O7" i="1"/>
  <c r="B61" i="18" a="1"/>
  <c r="D61" i="18" a="1"/>
  <c r="C61" i="18" a="1"/>
  <c r="C67" i="18" s="1"/>
  <c r="E61" i="18" a="1"/>
  <c r="B604" i="17"/>
  <c r="B605" i="17"/>
  <c r="B606" i="17"/>
  <c r="B607" i="17"/>
  <c r="B608" i="17"/>
  <c r="B609" i="17"/>
  <c r="B610" i="17"/>
  <c r="B611" i="17"/>
  <c r="B612" i="17"/>
  <c r="B613" i="17"/>
  <c r="B614" i="17"/>
  <c r="B615" i="17"/>
  <c r="B616" i="17"/>
  <c r="B617" i="17"/>
  <c r="B618" i="17"/>
  <c r="B619" i="17"/>
  <c r="B620" i="17"/>
  <c r="B621" i="17"/>
  <c r="B622" i="17"/>
  <c r="B623" i="17"/>
  <c r="B624" i="17"/>
  <c r="B625" i="17"/>
  <c r="B626" i="17"/>
  <c r="B627" i="17"/>
  <c r="B628" i="17"/>
  <c r="B629" i="17"/>
  <c r="B630" i="17"/>
  <c r="B631" i="17"/>
  <c r="B632" i="17"/>
  <c r="B633" i="17"/>
  <c r="B634" i="17"/>
  <c r="B635" i="17"/>
  <c r="B636" i="17"/>
  <c r="B637" i="17"/>
  <c r="B638" i="17"/>
  <c r="B639" i="17"/>
  <c r="B640" i="17"/>
  <c r="B641" i="17"/>
  <c r="B642" i="17"/>
  <c r="B643" i="17"/>
  <c r="B644" i="17"/>
  <c r="B645" i="17"/>
  <c r="B646" i="17"/>
  <c r="B647" i="17"/>
  <c r="B648" i="17"/>
  <c r="B649" i="17"/>
  <c r="B650" i="17"/>
  <c r="B651" i="17"/>
  <c r="B652" i="17"/>
  <c r="B653" i="17"/>
  <c r="B654" i="17"/>
  <c r="B655" i="17"/>
  <c r="B656" i="17"/>
  <c r="B657" i="17"/>
  <c r="B658" i="17"/>
  <c r="B659" i="17"/>
  <c r="B660" i="17"/>
  <c r="B661" i="17"/>
  <c r="B662" i="17"/>
  <c r="B663" i="17"/>
  <c r="B664" i="17"/>
  <c r="B665" i="17"/>
  <c r="B666" i="17"/>
  <c r="B667" i="17"/>
  <c r="B668" i="17"/>
  <c r="B669" i="17"/>
  <c r="B670" i="17"/>
  <c r="B671" i="17"/>
  <c r="B672" i="17"/>
  <c r="B673" i="17"/>
  <c r="B674" i="17"/>
  <c r="B675" i="17"/>
  <c r="B676" i="17"/>
  <c r="B677" i="17"/>
  <c r="B678" i="17"/>
  <c r="B679" i="17"/>
  <c r="B680" i="17"/>
  <c r="B681" i="17"/>
  <c r="B682" i="17"/>
  <c r="B683" i="17"/>
  <c r="B684" i="17"/>
  <c r="B685" i="17"/>
  <c r="B686" i="17"/>
  <c r="B687" i="17"/>
  <c r="B688" i="17"/>
  <c r="B689" i="17"/>
  <c r="B690" i="17"/>
  <c r="B691" i="17"/>
  <c r="B692" i="17"/>
  <c r="B693" i="17"/>
  <c r="B694" i="17"/>
  <c r="B695" i="17"/>
  <c r="B696" i="17"/>
  <c r="B697" i="17"/>
  <c r="B698" i="17"/>
  <c r="B699" i="17"/>
  <c r="B700" i="17"/>
  <c r="B701" i="17"/>
  <c r="B702" i="17"/>
  <c r="B703" i="17"/>
  <c r="B704" i="17"/>
  <c r="B705" i="17"/>
  <c r="B706" i="17"/>
  <c r="B707" i="17"/>
  <c r="B708" i="17"/>
  <c r="B709" i="17"/>
  <c r="B710" i="17"/>
  <c r="B711" i="17"/>
  <c r="B712" i="17"/>
  <c r="B713" i="17"/>
  <c r="B714" i="17"/>
  <c r="B716" i="17"/>
  <c r="B717" i="17"/>
  <c r="B718" i="17"/>
  <c r="B719" i="17"/>
  <c r="B720" i="17"/>
  <c r="B721" i="17"/>
  <c r="B722" i="17"/>
  <c r="B724" i="17"/>
  <c r="B725" i="17"/>
  <c r="B726" i="17"/>
  <c r="B727" i="17"/>
  <c r="B728" i="17"/>
  <c r="B729" i="17"/>
  <c r="B730" i="17"/>
  <c r="B731" i="17"/>
  <c r="B732" i="17"/>
  <c r="B733" i="17"/>
  <c r="B734" i="17"/>
  <c r="B735" i="17"/>
  <c r="B736" i="17"/>
  <c r="B737" i="17"/>
  <c r="B738" i="17"/>
  <c r="B739" i="17"/>
  <c r="B740" i="17"/>
  <c r="B741" i="17"/>
  <c r="B742" i="17"/>
  <c r="B743" i="17"/>
  <c r="B744" i="17"/>
  <c r="B745" i="17"/>
  <c r="B746" i="17"/>
  <c r="B747" i="17"/>
  <c r="B748" i="17"/>
  <c r="B749" i="17"/>
  <c r="B750" i="17"/>
  <c r="B751" i="17"/>
  <c r="B752" i="17"/>
  <c r="B753" i="17"/>
  <c r="B754" i="17"/>
  <c r="B755" i="17"/>
  <c r="B756" i="17"/>
  <c r="B757" i="17"/>
  <c r="B758" i="17"/>
  <c r="B759" i="17"/>
  <c r="B760" i="17"/>
  <c r="B761" i="17"/>
  <c r="B762" i="17"/>
  <c r="B763" i="17"/>
  <c r="B764" i="17"/>
  <c r="B765" i="17"/>
  <c r="B766" i="17"/>
  <c r="B767" i="17"/>
  <c r="B768" i="17"/>
  <c r="B770" i="17"/>
  <c r="B771" i="17"/>
  <c r="B772" i="17"/>
  <c r="B773" i="17"/>
  <c r="B774" i="17"/>
  <c r="B775" i="17"/>
  <c r="B776" i="17"/>
  <c r="B777" i="17"/>
  <c r="B778" i="17"/>
  <c r="B779" i="17"/>
  <c r="B780" i="17"/>
  <c r="B781" i="17"/>
  <c r="B782" i="17"/>
  <c r="B783" i="17"/>
  <c r="B784" i="17"/>
  <c r="B785" i="17"/>
  <c r="B786" i="17"/>
  <c r="B787" i="17"/>
  <c r="B788" i="17"/>
  <c r="B789" i="17"/>
  <c r="B790" i="17"/>
  <c r="B791" i="17"/>
  <c r="B792" i="17"/>
  <c r="B793" i="17"/>
  <c r="B794" i="17"/>
  <c r="B795" i="17"/>
  <c r="B796" i="17"/>
  <c r="B797" i="17"/>
  <c r="B798" i="17"/>
  <c r="B799" i="17"/>
  <c r="B800" i="17"/>
  <c r="B801" i="17"/>
  <c r="B802" i="17"/>
  <c r="B803" i="17"/>
  <c r="B804" i="17"/>
  <c r="B805" i="17"/>
  <c r="B806" i="17"/>
  <c r="B807" i="17"/>
  <c r="B808" i="17"/>
  <c r="B809" i="17"/>
  <c r="B810" i="17"/>
  <c r="B811" i="17"/>
  <c r="B814" i="17"/>
  <c r="B815" i="17"/>
  <c r="B816" i="17"/>
  <c r="B817" i="17"/>
  <c r="B818" i="17"/>
  <c r="B819" i="17"/>
  <c r="B820" i="17"/>
  <c r="B821" i="17"/>
  <c r="B822" i="17"/>
  <c r="B823" i="17"/>
  <c r="B824" i="17"/>
  <c r="B825" i="17"/>
  <c r="B826" i="17"/>
  <c r="B827" i="17"/>
  <c r="B828" i="17"/>
  <c r="B829" i="17"/>
  <c r="B830" i="17"/>
  <c r="B831" i="17"/>
  <c r="B832" i="17"/>
  <c r="B833" i="17"/>
  <c r="B834" i="17"/>
  <c r="B835" i="17"/>
  <c r="B836" i="17"/>
  <c r="B837" i="17"/>
  <c r="B838" i="17"/>
  <c r="B839" i="17"/>
  <c r="B840" i="17"/>
  <c r="B841" i="17"/>
  <c r="B842" i="17"/>
  <c r="B843" i="17"/>
  <c r="B844" i="17"/>
  <c r="B845" i="17"/>
  <c r="B846" i="17"/>
  <c r="B847" i="17"/>
  <c r="B848" i="17"/>
  <c r="B849" i="17"/>
  <c r="B850" i="17"/>
  <c r="B851" i="17"/>
  <c r="B852" i="17"/>
  <c r="B853" i="17"/>
  <c r="B854" i="17"/>
  <c r="B855" i="17"/>
  <c r="B856" i="17"/>
  <c r="B857" i="17"/>
  <c r="B858" i="17"/>
  <c r="B859" i="17"/>
  <c r="B860" i="17"/>
  <c r="B861" i="17"/>
  <c r="B862" i="17"/>
  <c r="B863" i="17"/>
  <c r="B864" i="17"/>
  <c r="B865" i="17"/>
  <c r="B866" i="17"/>
  <c r="B867" i="17"/>
  <c r="B868" i="17"/>
  <c r="B869" i="17"/>
  <c r="B870" i="17"/>
  <c r="B871" i="17"/>
  <c r="B872" i="17"/>
  <c r="B873" i="17"/>
  <c r="B874" i="17"/>
  <c r="B875" i="17"/>
  <c r="B877" i="17"/>
  <c r="B878" i="17"/>
  <c r="B879" i="17"/>
  <c r="B880" i="17"/>
  <c r="B881" i="17"/>
  <c r="B882" i="17"/>
  <c r="B883" i="17"/>
  <c r="B884" i="17"/>
  <c r="B885" i="17"/>
  <c r="B886" i="17"/>
  <c r="B887" i="17"/>
  <c r="B888" i="17"/>
  <c r="B889" i="17"/>
  <c r="B890" i="17"/>
  <c r="B891" i="17"/>
  <c r="B892" i="17"/>
  <c r="B893" i="17"/>
  <c r="B894" i="17"/>
  <c r="B895" i="17"/>
  <c r="B896" i="17"/>
  <c r="B897" i="17"/>
  <c r="B898" i="17"/>
  <c r="B899" i="17"/>
  <c r="B900" i="17"/>
  <c r="B901" i="17"/>
  <c r="B902" i="17"/>
  <c r="B903" i="17"/>
  <c r="B904" i="17"/>
  <c r="B905" i="17"/>
  <c r="B906" i="17"/>
  <c r="B907" i="17"/>
  <c r="B908" i="17"/>
  <c r="B909" i="17"/>
  <c r="B910" i="17"/>
  <c r="B911" i="17"/>
  <c r="B912" i="17"/>
  <c r="B913" i="17"/>
  <c r="B914" i="17"/>
  <c r="B915" i="17"/>
  <c r="B916" i="17"/>
  <c r="B917" i="17"/>
  <c r="B918" i="17"/>
  <c r="B919" i="17"/>
  <c r="B921" i="17"/>
  <c r="B922" i="17"/>
  <c r="B923" i="17"/>
  <c r="B924" i="17"/>
  <c r="B925" i="17"/>
  <c r="B926" i="17"/>
  <c r="B927" i="17"/>
  <c r="B928" i="17"/>
  <c r="B929" i="17"/>
  <c r="B930" i="17"/>
  <c r="B931" i="17"/>
  <c r="B932" i="17"/>
  <c r="B933" i="17"/>
  <c r="B934" i="17"/>
  <c r="B935" i="17"/>
  <c r="B936" i="17"/>
  <c r="B937" i="17"/>
  <c r="B938" i="17"/>
  <c r="B939" i="17"/>
  <c r="B940" i="17"/>
  <c r="B941" i="17"/>
  <c r="B942" i="17"/>
  <c r="B943" i="17"/>
  <c r="B944" i="17"/>
  <c r="B951" i="17"/>
  <c r="B952" i="17"/>
  <c r="B953" i="17"/>
  <c r="B954" i="17"/>
  <c r="B955" i="17"/>
  <c r="B956" i="17"/>
  <c r="B957" i="17"/>
  <c r="B958" i="17"/>
  <c r="B959" i="17"/>
  <c r="B961" i="17"/>
  <c r="B962" i="17"/>
  <c r="B963" i="17"/>
  <c r="B965" i="17"/>
  <c r="B966" i="17"/>
  <c r="B967" i="17"/>
  <c r="B968" i="17"/>
  <c r="B969" i="17"/>
  <c r="B970" i="17"/>
  <c r="B971" i="17"/>
  <c r="B972" i="17"/>
  <c r="B973" i="17"/>
  <c r="B974" i="17"/>
  <c r="B975" i="17"/>
  <c r="B976" i="17"/>
  <c r="B977" i="17"/>
  <c r="B978" i="17"/>
  <c r="B979" i="17"/>
  <c r="B980" i="17"/>
  <c r="B981" i="17"/>
  <c r="B982" i="17"/>
  <c r="B983" i="17"/>
  <c r="B984" i="17"/>
  <c r="B985" i="17"/>
  <c r="B986" i="17"/>
  <c r="B987" i="17"/>
  <c r="B988" i="17"/>
  <c r="B989" i="17"/>
  <c r="B990" i="17"/>
  <c r="B991" i="17"/>
  <c r="B992" i="17"/>
  <c r="B993" i="17"/>
  <c r="B994" i="17"/>
  <c r="B995" i="17"/>
  <c r="B996" i="17"/>
  <c r="B997" i="17"/>
  <c r="B998" i="17"/>
  <c r="B999" i="17"/>
  <c r="B1000" i="17"/>
  <c r="B1001" i="17"/>
  <c r="B603" i="17"/>
  <c r="F19" i="1"/>
  <c r="B314" i="17"/>
  <c r="B315" i="17"/>
  <c r="B316" i="17"/>
  <c r="B317" i="17"/>
  <c r="B318" i="17"/>
  <c r="B319" i="17"/>
  <c r="B320" i="17"/>
  <c r="B321" i="17"/>
  <c r="B322" i="17"/>
  <c r="B323" i="17"/>
  <c r="B324" i="17"/>
  <c r="B325" i="17"/>
  <c r="B326" i="17"/>
  <c r="B327" i="17"/>
  <c r="B328" i="17"/>
  <c r="B329" i="17"/>
  <c r="B330" i="17"/>
  <c r="B331" i="17"/>
  <c r="B332" i="17"/>
  <c r="B333" i="17"/>
  <c r="B334" i="17"/>
  <c r="B335" i="17"/>
  <c r="B336" i="17"/>
  <c r="B337" i="17"/>
  <c r="B338" i="17"/>
  <c r="B339" i="17"/>
  <c r="B340" i="17"/>
  <c r="B341" i="17"/>
  <c r="B342" i="17"/>
  <c r="B343" i="17"/>
  <c r="B344" i="17"/>
  <c r="B345" i="17"/>
  <c r="B346" i="17"/>
  <c r="B347" i="17"/>
  <c r="B348" i="17"/>
  <c r="B349" i="17"/>
  <c r="B350" i="17"/>
  <c r="B351" i="17"/>
  <c r="B352" i="17"/>
  <c r="B353" i="17"/>
  <c r="B354" i="17"/>
  <c r="B355" i="17"/>
  <c r="B356" i="17"/>
  <c r="B357" i="17"/>
  <c r="B358" i="17"/>
  <c r="B359" i="17"/>
  <c r="B360" i="17"/>
  <c r="B361" i="17"/>
  <c r="B362" i="17"/>
  <c r="B363" i="17"/>
  <c r="B364" i="17"/>
  <c r="B365" i="17"/>
  <c r="B366" i="17"/>
  <c r="B367" i="17"/>
  <c r="B368" i="17"/>
  <c r="B369" i="17"/>
  <c r="B370" i="17"/>
  <c r="B371" i="17"/>
  <c r="B372" i="17"/>
  <c r="B373" i="17"/>
  <c r="B374" i="17"/>
  <c r="B375" i="17"/>
  <c r="B376" i="17"/>
  <c r="B377" i="17"/>
  <c r="B378" i="17"/>
  <c r="B379" i="17"/>
  <c r="B380" i="17"/>
  <c r="B381" i="17"/>
  <c r="B382" i="17"/>
  <c r="B383" i="17"/>
  <c r="B384" i="17"/>
  <c r="B385" i="17"/>
  <c r="B386" i="17"/>
  <c r="B387" i="17"/>
  <c r="B388" i="17"/>
  <c r="B389" i="17"/>
  <c r="B390" i="17"/>
  <c r="B391" i="17"/>
  <c r="B392" i="17"/>
  <c r="B393" i="17"/>
  <c r="B394" i="17"/>
  <c r="B395" i="17"/>
  <c r="B396" i="17"/>
  <c r="B397" i="17"/>
  <c r="B398" i="17"/>
  <c r="B399" i="17"/>
  <c r="B400" i="17"/>
  <c r="B401" i="17"/>
  <c r="B402" i="17"/>
  <c r="B403" i="17"/>
  <c r="B404" i="17"/>
  <c r="B405" i="17"/>
  <c r="B406" i="17"/>
  <c r="B407" i="17"/>
  <c r="B408" i="17"/>
  <c r="B409" i="17"/>
  <c r="B410" i="17"/>
  <c r="B411" i="17"/>
  <c r="B412" i="17"/>
  <c r="B413" i="17"/>
  <c r="B414" i="17"/>
  <c r="B415" i="17"/>
  <c r="B416" i="17"/>
  <c r="B417" i="17"/>
  <c r="B418" i="17"/>
  <c r="B419" i="17"/>
  <c r="B420" i="17"/>
  <c r="B421" i="17"/>
  <c r="B422" i="17"/>
  <c r="B423" i="17"/>
  <c r="B424" i="17"/>
  <c r="B425" i="17"/>
  <c r="B426" i="17"/>
  <c r="B427" i="17"/>
  <c r="B428" i="17"/>
  <c r="B429" i="17"/>
  <c r="B430" i="17"/>
  <c r="B431" i="17"/>
  <c r="B432" i="17"/>
  <c r="B433" i="17"/>
  <c r="B434" i="17"/>
  <c r="B435" i="17"/>
  <c r="B436" i="17"/>
  <c r="B437" i="17"/>
  <c r="B438" i="17"/>
  <c r="B439" i="17"/>
  <c r="B440" i="17"/>
  <c r="B441" i="17"/>
  <c r="B442" i="17"/>
  <c r="B443" i="17"/>
  <c r="B444" i="17"/>
  <c r="B445" i="17"/>
  <c r="B446" i="17"/>
  <c r="B447" i="17"/>
  <c r="B448" i="17"/>
  <c r="B449" i="17"/>
  <c r="B450" i="17"/>
  <c r="B451" i="17"/>
  <c r="B452" i="17"/>
  <c r="B453" i="17"/>
  <c r="B454" i="17"/>
  <c r="B455" i="17"/>
  <c r="B456" i="17"/>
  <c r="B457" i="17"/>
  <c r="B458" i="17"/>
  <c r="B459" i="17"/>
  <c r="B460" i="17"/>
  <c r="B461" i="17"/>
  <c r="B462" i="17"/>
  <c r="B463" i="17"/>
  <c r="B464" i="17"/>
  <c r="B465" i="17"/>
  <c r="B466" i="17"/>
  <c r="B467" i="17"/>
  <c r="B468" i="17"/>
  <c r="B469" i="17"/>
  <c r="B470" i="17"/>
  <c r="B471" i="17"/>
  <c r="B472" i="17"/>
  <c r="B473" i="17"/>
  <c r="B474" i="17"/>
  <c r="B475" i="17"/>
  <c r="B476" i="17"/>
  <c r="B477" i="17"/>
  <c r="B478" i="17"/>
  <c r="B479" i="17"/>
  <c r="B480" i="17"/>
  <c r="B481" i="17"/>
  <c r="B482" i="17"/>
  <c r="B483" i="17"/>
  <c r="B484" i="17"/>
  <c r="B485" i="17"/>
  <c r="B486" i="17"/>
  <c r="B487" i="17"/>
  <c r="B488" i="17"/>
  <c r="B489" i="17"/>
  <c r="B490" i="17"/>
  <c r="B491" i="17"/>
  <c r="B492" i="17"/>
  <c r="B493" i="17"/>
  <c r="B494" i="17"/>
  <c r="B495" i="17"/>
  <c r="B496" i="17"/>
  <c r="B497" i="17"/>
  <c r="B498" i="17"/>
  <c r="B499" i="17"/>
  <c r="B500" i="17"/>
  <c r="B501" i="17"/>
  <c r="B502" i="17"/>
  <c r="B503" i="17"/>
  <c r="B504" i="17"/>
  <c r="B505" i="17"/>
  <c r="B506" i="17"/>
  <c r="B507" i="17"/>
  <c r="B508" i="17"/>
  <c r="B509" i="17"/>
  <c r="B510" i="17"/>
  <c r="B511" i="17"/>
  <c r="B512" i="17"/>
  <c r="B513" i="17"/>
  <c r="B514" i="17"/>
  <c r="B515" i="17"/>
  <c r="B516" i="17"/>
  <c r="B517" i="17"/>
  <c r="B518" i="17"/>
  <c r="B519" i="17"/>
  <c r="B520" i="17"/>
  <c r="B521" i="17"/>
  <c r="B522" i="17"/>
  <c r="B523" i="17"/>
  <c r="B524" i="17"/>
  <c r="B525" i="17"/>
  <c r="B526" i="17"/>
  <c r="B527" i="17"/>
  <c r="B528" i="17"/>
  <c r="B529" i="17"/>
  <c r="B530" i="17"/>
  <c r="B531" i="17"/>
  <c r="B532" i="17"/>
  <c r="B533" i="17"/>
  <c r="B534" i="17"/>
  <c r="B535" i="17"/>
  <c r="B536" i="17"/>
  <c r="B537" i="17"/>
  <c r="B538" i="17"/>
  <c r="B539" i="17"/>
  <c r="B540" i="17"/>
  <c r="B541" i="17"/>
  <c r="B542" i="17"/>
  <c r="B543" i="17"/>
  <c r="B544" i="17"/>
  <c r="B545" i="17"/>
  <c r="B546" i="17"/>
  <c r="B547" i="17"/>
  <c r="B548" i="17"/>
  <c r="B549" i="17"/>
  <c r="B550" i="17"/>
  <c r="B551" i="17"/>
  <c r="B552" i="17"/>
  <c r="B553" i="17"/>
  <c r="B554" i="17"/>
  <c r="B555" i="17"/>
  <c r="B556" i="17"/>
  <c r="B557" i="17"/>
  <c r="B558" i="17"/>
  <c r="B559" i="17"/>
  <c r="B560" i="17"/>
  <c r="B561" i="17"/>
  <c r="B562" i="17"/>
  <c r="B563" i="17"/>
  <c r="B564" i="17"/>
  <c r="B565" i="17"/>
  <c r="B566" i="17"/>
  <c r="B567" i="17"/>
  <c r="B568" i="17"/>
  <c r="B569" i="17"/>
  <c r="B570" i="17"/>
  <c r="B571" i="17"/>
  <c r="B572" i="17"/>
  <c r="B573" i="17"/>
  <c r="B574" i="17"/>
  <c r="B575" i="17"/>
  <c r="B576" i="17"/>
  <c r="B577" i="17"/>
  <c r="B578" i="17"/>
  <c r="B579" i="17"/>
  <c r="B580" i="17"/>
  <c r="B581" i="17"/>
  <c r="B582" i="17"/>
  <c r="B583" i="17"/>
  <c r="B584" i="17"/>
  <c r="B585" i="17"/>
  <c r="B586" i="17"/>
  <c r="B587" i="17"/>
  <c r="B588" i="17"/>
  <c r="B589" i="17"/>
  <c r="B590" i="17"/>
  <c r="B591" i="17"/>
  <c r="B592" i="17"/>
  <c r="B593" i="17"/>
  <c r="B594" i="17"/>
  <c r="B595" i="17"/>
  <c r="B596" i="17"/>
  <c r="B597" i="17"/>
  <c r="B598" i="17"/>
  <c r="B599" i="17"/>
  <c r="B600" i="17"/>
  <c r="B601" i="17"/>
  <c r="B602" i="17"/>
  <c r="D9" i="1"/>
  <c r="E9" i="1"/>
  <c r="F9" i="1"/>
  <c r="B43" i="17"/>
  <c r="B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B225" i="17"/>
  <c r="B226" i="17"/>
  <c r="B227" i="17"/>
  <c r="B228" i="17"/>
  <c r="B229" i="17"/>
  <c r="B230" i="17"/>
  <c r="B231" i="17"/>
  <c r="B232" i="17"/>
  <c r="B233" i="17"/>
  <c r="B234" i="17"/>
  <c r="B235" i="17"/>
  <c r="B236" i="17"/>
  <c r="B237" i="17"/>
  <c r="B238" i="17"/>
  <c r="B239" i="17"/>
  <c r="B240" i="17"/>
  <c r="B241" i="17"/>
  <c r="B242" i="17"/>
  <c r="B243" i="17"/>
  <c r="B244" i="17"/>
  <c r="B245" i="17"/>
  <c r="B246" i="17"/>
  <c r="B247" i="17"/>
  <c r="B248" i="17"/>
  <c r="B249" i="17"/>
  <c r="B250" i="17"/>
  <c r="B251" i="17"/>
  <c r="B252" i="17"/>
  <c r="B253" i="17"/>
  <c r="B254" i="17"/>
  <c r="B255" i="17"/>
  <c r="B256" i="17"/>
  <c r="B257" i="17"/>
  <c r="B258" i="17"/>
  <c r="B259" i="17"/>
  <c r="B260" i="17"/>
  <c r="B261" i="17"/>
  <c r="B262" i="17"/>
  <c r="B263" i="17"/>
  <c r="B264" i="17"/>
  <c r="B265" i="17"/>
  <c r="B266" i="17"/>
  <c r="B267" i="17"/>
  <c r="B268" i="17"/>
  <c r="B269" i="17"/>
  <c r="B270" i="17"/>
  <c r="B271" i="17"/>
  <c r="B272" i="17"/>
  <c r="B273" i="17"/>
  <c r="B274" i="17"/>
  <c r="B275" i="17"/>
  <c r="B276" i="17"/>
  <c r="B277" i="17"/>
  <c r="B278" i="17"/>
  <c r="B279" i="17"/>
  <c r="B280" i="17"/>
  <c r="B281" i="17"/>
  <c r="B282" i="17"/>
  <c r="B283" i="17"/>
  <c r="B284" i="17"/>
  <c r="B285" i="17"/>
  <c r="B286" i="17"/>
  <c r="B287" i="17"/>
  <c r="B288" i="17"/>
  <c r="B289" i="17"/>
  <c r="B290" i="17"/>
  <c r="B291" i="17"/>
  <c r="B292" i="17"/>
  <c r="B293" i="17"/>
  <c r="B294" i="17"/>
  <c r="B295" i="17"/>
  <c r="B296" i="17"/>
  <c r="B297" i="17"/>
  <c r="B298" i="17"/>
  <c r="B299" i="17"/>
  <c r="B300" i="17"/>
  <c r="B301" i="17"/>
  <c r="B302" i="17"/>
  <c r="B303" i="17"/>
  <c r="B304" i="17"/>
  <c r="B305" i="17"/>
  <c r="B306" i="17"/>
  <c r="B307" i="17"/>
  <c r="B308" i="17"/>
  <c r="B309" i="17"/>
  <c r="B310" i="17"/>
  <c r="B311" i="17"/>
  <c r="B312" i="17"/>
  <c r="B313" i="17"/>
  <c r="B24" i="18" a="1"/>
  <c r="C6" i="18"/>
  <c r="E51" i="18"/>
  <c r="C51" i="18"/>
  <c r="B51" i="18"/>
  <c r="E14" i="18"/>
  <c r="B91" i="10"/>
  <c r="D91" i="10"/>
  <c r="H14" i="10"/>
  <c r="F91" i="10"/>
  <c r="E26" i="10"/>
  <c r="E25" i="10"/>
  <c r="E24" i="10"/>
  <c r="E23" i="10"/>
  <c r="E22" i="10"/>
  <c r="B14" i="10"/>
  <c r="B20" i="17"/>
  <c r="B9" i="17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E3" i="1"/>
  <c r="E2" i="1"/>
  <c r="K1" i="1"/>
  <c r="I1" i="1"/>
  <c r="E1" i="1"/>
  <c r="D8" i="1"/>
  <c r="E8" i="1"/>
  <c r="F8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 s="1"/>
  <c r="F18" i="1"/>
  <c r="D19" i="1"/>
  <c r="E19" i="1" s="1"/>
  <c r="D20" i="1"/>
  <c r="E20" i="1" s="1"/>
  <c r="F20" i="1"/>
  <c r="D21" i="1"/>
  <c r="E21" i="1" s="1"/>
  <c r="F21" i="1"/>
  <c r="D22" i="1"/>
  <c r="E22" i="1" s="1"/>
  <c r="F22" i="1"/>
  <c r="D23" i="1"/>
  <c r="E23" i="1" s="1"/>
  <c r="D24" i="1"/>
  <c r="E24" i="1"/>
  <c r="D25" i="1"/>
  <c r="E25" i="1" s="1"/>
  <c r="D26" i="1"/>
  <c r="E26" i="1" s="1"/>
  <c r="D27" i="1"/>
  <c r="E27" i="1"/>
  <c r="D28" i="1"/>
  <c r="E28" i="1" s="1"/>
  <c r="D29" i="1"/>
  <c r="E29" i="1" s="1"/>
  <c r="D30" i="1"/>
  <c r="E30" i="1"/>
  <c r="D31" i="1"/>
  <c r="E31" i="1" s="1"/>
  <c r="D32" i="1"/>
  <c r="E32" i="1" s="1"/>
  <c r="D33" i="1"/>
  <c r="E33" i="1"/>
  <c r="D34" i="1"/>
  <c r="E34" i="1" s="1"/>
  <c r="D35" i="1"/>
  <c r="E35" i="1" s="1"/>
  <c r="D36" i="1"/>
  <c r="E36" i="1"/>
  <c r="D37" i="1"/>
  <c r="E37" i="1" s="1"/>
  <c r="D38" i="1"/>
  <c r="E38" i="1" s="1"/>
  <c r="D39" i="1"/>
  <c r="E39" i="1"/>
  <c r="D40" i="1"/>
  <c r="E40" i="1" s="1"/>
  <c r="D41" i="1"/>
  <c r="E41" i="1" s="1"/>
  <c r="D42" i="1"/>
  <c r="E42" i="1"/>
  <c r="D43" i="1"/>
  <c r="E43" i="1" s="1"/>
  <c r="D44" i="1"/>
  <c r="E44" i="1" s="1"/>
  <c r="D45" i="1"/>
  <c r="E45" i="1"/>
  <c r="D46" i="1"/>
  <c r="E46" i="1" s="1"/>
  <c r="D47" i="1"/>
  <c r="E47" i="1" s="1"/>
  <c r="D48" i="1"/>
  <c r="E48" i="1"/>
  <c r="D49" i="1"/>
  <c r="E49" i="1" s="1"/>
  <c r="D50" i="1"/>
  <c r="E50" i="1" s="1"/>
  <c r="D51" i="1"/>
  <c r="E51" i="1"/>
  <c r="D52" i="1"/>
  <c r="E52" i="1" s="1"/>
  <c r="D53" i="1"/>
  <c r="E53" i="1" s="1"/>
  <c r="D54" i="1"/>
  <c r="E54" i="1"/>
  <c r="D55" i="1"/>
  <c r="E55" i="1" s="1"/>
  <c r="D56" i="1"/>
  <c r="E56" i="1" s="1"/>
  <c r="D57" i="1"/>
  <c r="E57" i="1"/>
  <c r="D58" i="1"/>
  <c r="E58" i="1" s="1"/>
  <c r="D59" i="1"/>
  <c r="E59" i="1" s="1"/>
  <c r="D60" i="1"/>
  <c r="E60" i="1"/>
  <c r="D61" i="1"/>
  <c r="E61" i="1" s="1"/>
  <c r="D62" i="1"/>
  <c r="E62" i="1" s="1"/>
  <c r="D63" i="1"/>
  <c r="E63" i="1"/>
  <c r="D64" i="1"/>
  <c r="E64" i="1" s="1"/>
  <c r="D65" i="1"/>
  <c r="E65" i="1" s="1"/>
  <c r="D66" i="1"/>
  <c r="E66" i="1"/>
  <c r="D67" i="1"/>
  <c r="E67" i="1" s="1"/>
  <c r="D68" i="1"/>
  <c r="E68" i="1" s="1"/>
  <c r="D69" i="1"/>
  <c r="E69" i="1"/>
  <c r="D70" i="1"/>
  <c r="E70" i="1" s="1"/>
  <c r="D71" i="1"/>
  <c r="E71" i="1" s="1"/>
  <c r="D72" i="1"/>
  <c r="E72" i="1"/>
  <c r="D73" i="1"/>
  <c r="E73" i="1" s="1"/>
  <c r="D74" i="1"/>
  <c r="E74" i="1" s="1"/>
  <c r="D75" i="1"/>
  <c r="E75" i="1"/>
  <c r="D76" i="1"/>
  <c r="E76" i="1" s="1"/>
  <c r="D77" i="1"/>
  <c r="E77" i="1" s="1"/>
  <c r="D78" i="1"/>
  <c r="E78" i="1"/>
  <c r="D79" i="1"/>
  <c r="E79" i="1" s="1"/>
  <c r="D80" i="1"/>
  <c r="E80" i="1" s="1"/>
  <c r="D81" i="1"/>
  <c r="E81" i="1"/>
  <c r="D82" i="1"/>
  <c r="E82" i="1" s="1"/>
  <c r="D83" i="1"/>
  <c r="E83" i="1" s="1"/>
  <c r="D84" i="1"/>
  <c r="E84" i="1"/>
  <c r="D85" i="1"/>
  <c r="E85" i="1" s="1"/>
  <c r="D86" i="1"/>
  <c r="E86" i="1" s="1"/>
  <c r="D87" i="1"/>
  <c r="E87" i="1"/>
  <c r="D88" i="1"/>
  <c r="E88" i="1" s="1"/>
  <c r="D89" i="1"/>
  <c r="E89" i="1" s="1"/>
  <c r="D90" i="1"/>
  <c r="E90" i="1"/>
  <c r="D91" i="1"/>
  <c r="E91" i="1" s="1"/>
  <c r="D92" i="1"/>
  <c r="E92" i="1" s="1"/>
  <c r="D93" i="1"/>
  <c r="E93" i="1"/>
  <c r="D94" i="1"/>
  <c r="E94" i="1" s="1"/>
  <c r="D95" i="1"/>
  <c r="E95" i="1" s="1"/>
  <c r="D96" i="1"/>
  <c r="E96" i="1"/>
  <c r="D97" i="1"/>
  <c r="E97" i="1" s="1"/>
  <c r="D98" i="1"/>
  <c r="E98" i="1" s="1"/>
  <c r="D99" i="1"/>
  <c r="E99" i="1"/>
  <c r="D100" i="1"/>
  <c r="E100" i="1" s="1"/>
  <c r="D101" i="1"/>
  <c r="E101" i="1" s="1"/>
  <c r="D102" i="1"/>
  <c r="E102" i="1"/>
  <c r="D103" i="1"/>
  <c r="E103" i="1" s="1"/>
  <c r="D104" i="1"/>
  <c r="E104" i="1" s="1"/>
  <c r="D105" i="1"/>
  <c r="E105" i="1"/>
  <c r="D106" i="1"/>
  <c r="E106" i="1" s="1"/>
  <c r="D107" i="1"/>
  <c r="E107" i="1" s="1"/>
  <c r="D108" i="1"/>
  <c r="E108" i="1"/>
  <c r="D109" i="1"/>
  <c r="E109" i="1" s="1"/>
  <c r="D110" i="1"/>
  <c r="E110" i="1" s="1"/>
  <c r="D111" i="1"/>
  <c r="E111" i="1"/>
  <c r="D112" i="1"/>
  <c r="E112" i="1" s="1"/>
  <c r="D113" i="1"/>
  <c r="E113" i="1" s="1"/>
  <c r="D114" i="1"/>
  <c r="E114" i="1"/>
  <c r="D115" i="1"/>
  <c r="E115" i="1" s="1"/>
  <c r="D116" i="1"/>
  <c r="E116" i="1" s="1"/>
  <c r="D117" i="1"/>
  <c r="E117" i="1"/>
  <c r="D118" i="1"/>
  <c r="E118" i="1" s="1"/>
  <c r="D119" i="1"/>
  <c r="E119" i="1" s="1"/>
  <c r="D120" i="1"/>
  <c r="E120" i="1"/>
  <c r="D121" i="1"/>
  <c r="E121" i="1" s="1"/>
  <c r="D122" i="1"/>
  <c r="E122" i="1" s="1"/>
  <c r="D123" i="1"/>
  <c r="E123" i="1"/>
  <c r="D124" i="1"/>
  <c r="E124" i="1" s="1"/>
  <c r="D125" i="1"/>
  <c r="E125" i="1" s="1"/>
  <c r="D126" i="1"/>
  <c r="E126" i="1"/>
  <c r="D127" i="1"/>
  <c r="E127" i="1" s="1"/>
  <c r="D128" i="1"/>
  <c r="E128" i="1" s="1"/>
  <c r="D129" i="1"/>
  <c r="E129" i="1"/>
  <c r="D130" i="1"/>
  <c r="E130" i="1" s="1"/>
  <c r="D131" i="1"/>
  <c r="E131" i="1" s="1"/>
  <c r="D132" i="1"/>
  <c r="E132" i="1"/>
  <c r="D133" i="1"/>
  <c r="E133" i="1" s="1"/>
  <c r="D134" i="1"/>
  <c r="E134" i="1" s="1"/>
  <c r="D135" i="1"/>
  <c r="E135" i="1"/>
  <c r="D136" i="1"/>
  <c r="E136" i="1" s="1"/>
  <c r="D137" i="1"/>
  <c r="E137" i="1" s="1"/>
  <c r="D138" i="1"/>
  <c r="E138" i="1"/>
  <c r="D139" i="1"/>
  <c r="E139" i="1" s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19" i="17"/>
  <c r="B18" i="17"/>
  <c r="B17" i="17"/>
  <c r="B16" i="17"/>
  <c r="B15" i="17"/>
  <c r="B14" i="17"/>
  <c r="B13" i="17"/>
  <c r="B12" i="17"/>
  <c r="B11" i="17"/>
  <c r="B10" i="17"/>
  <c r="B8" i="17"/>
  <c r="B7" i="17"/>
  <c r="B2" i="17"/>
  <c r="B3" i="17"/>
  <c r="B4" i="17"/>
  <c r="B5" i="17"/>
  <c r="B6" i="17"/>
  <c r="O5" i="1"/>
  <c r="O6" i="1"/>
  <c r="O8" i="1"/>
  <c r="E10" i="18" s="1"/>
  <c r="O9" i="1"/>
  <c r="O10" i="1"/>
  <c r="O11" i="1"/>
  <c r="O12" i="1"/>
  <c r="O13" i="1"/>
  <c r="O14" i="1"/>
  <c r="O15" i="1"/>
  <c r="O16" i="1"/>
  <c r="O18" i="1"/>
  <c r="O17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G1" i="1"/>
  <c r="D9" i="10"/>
  <c r="C23" i="10"/>
  <c r="G26" i="10"/>
  <c r="G25" i="10"/>
  <c r="G24" i="10"/>
  <c r="G23" i="10"/>
  <c r="G22" i="10"/>
  <c r="B14" i="18"/>
  <c r="C10" i="18"/>
  <c r="D10" i="18"/>
  <c r="E6" i="18"/>
  <c r="B10" i="18"/>
  <c r="D6" i="18"/>
  <c r="C65" i="18"/>
  <c r="B65" i="18"/>
  <c r="D65" i="18"/>
  <c r="F14" i="10"/>
  <c r="D14" i="10"/>
  <c r="D14" i="18"/>
  <c r="C24" i="10"/>
  <c r="C17" i="10"/>
  <c r="C14" i="18"/>
  <c r="F9" i="10"/>
  <c r="B9" i="10"/>
  <c r="E27" i="10"/>
  <c r="C25" i="10"/>
  <c r="C22" i="10"/>
  <c r="B61" i="10" a="1"/>
  <c r="B44" i="10" a="1"/>
  <c r="F78" i="10"/>
  <c r="F80" i="10"/>
  <c r="E78" i="10"/>
  <c r="E80" i="10"/>
  <c r="H91" i="10"/>
  <c r="F12" i="10"/>
  <c r="F77" i="10" l="1"/>
  <c r="E77" i="10"/>
  <c r="F82" i="10"/>
  <c r="E82" i="10"/>
  <c r="F81" i="10"/>
  <c r="E81" i="10"/>
  <c r="F79" i="10"/>
  <c r="E79" i="10"/>
  <c r="D12" i="10"/>
  <c r="H9" i="10"/>
  <c r="B38" i="18" a="1"/>
  <c r="D51" i="1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<sst xmlns="http://schemas.openxmlformats.org/spreadsheetml/2006/main" count="8125" uniqueCount="1898">
  <si>
    <t xml:space="preserve">📊 Sales Pipeline Dashboard </t>
  </si>
  <si>
    <t>🎯 KEY PERFORMANCE METRICS</t>
  </si>
  <si>
    <t>📊 TOTAL PROJECTS</t>
  </si>
  <si>
    <t>🟢 IN HAND</t>
  </si>
  <si>
    <t>🟡 TENDER</t>
  </si>
  <si>
    <t>💰 PIPELINE VALUE</t>
  </si>
  <si>
    <t>Active Pipeline</t>
  </si>
  <si>
    <t>Confirmed Deals</t>
  </si>
  <si>
    <t>Pending Bids</t>
  </si>
  <si>
    <t>Total Estimated</t>
  </si>
  <si>
    <t>📊</t>
  </si>
  <si>
    <t>📋</t>
  </si>
  <si>
    <t>🔥 HOT LEADS (7 DAYS)</t>
  </si>
  <si>
    <t>✅ WON DEALS</t>
  </si>
  <si>
    <t>❌ LOST DEALS</t>
  </si>
  <si>
    <t>⚡ DUE TODAY</t>
  </si>
  <si>
    <t>=</t>
  </si>
  <si>
    <t>New Contacts</t>
  </si>
  <si>
    <t>Closed Successfully</t>
  </si>
  <si>
    <t>Not Converted</t>
  </si>
  <si>
    <t>Actions Required</t>
  </si>
  <si>
    <t>📈 HIT RATE</t>
  </si>
  <si>
    <t>📈 ANALYTICS &amp; INSIGHTS</t>
  </si>
  <si>
    <t>📊 Pipeline by Stage</t>
  </si>
  <si>
    <t>📍 Projects by Location</t>
  </si>
  <si>
    <t>📋 Projects by Status</t>
  </si>
  <si>
    <t>Stage</t>
  </si>
  <si>
    <t>Count</t>
  </si>
  <si>
    <t>Location</t>
  </si>
  <si>
    <t>Status</t>
  </si>
  <si>
    <t>In Hand</t>
  </si>
  <si>
    <t>Jeddah</t>
  </si>
  <si>
    <t>RFQ Processing</t>
  </si>
  <si>
    <t>Tender</t>
  </si>
  <si>
    <t>Makkah</t>
  </si>
  <si>
    <t>Negotiation</t>
  </si>
  <si>
    <t>Won</t>
  </si>
  <si>
    <t>Madinah</t>
  </si>
  <si>
    <t>Gather Info</t>
  </si>
  <si>
    <t>Lost</t>
  </si>
  <si>
    <t>Riyadh</t>
  </si>
  <si>
    <t>Send to Client</t>
  </si>
  <si>
    <t>Khobar</t>
  </si>
  <si>
    <t>Closed</t>
  </si>
  <si>
    <t>Other</t>
  </si>
  <si>
    <t>🎯 ACTION CENTER - Tasks Requiring Immediate Attention</t>
  </si>
  <si>
    <t>🔥 HOT LEADS - Follow Up Required</t>
  </si>
  <si>
    <t>⚡ QUICK UPDATE - Edit Action / Date</t>
  </si>
  <si>
    <t>Name</t>
  </si>
  <si>
    <t>Company</t>
  </si>
  <si>
    <t>Phone</t>
  </si>
  <si>
    <t>Position</t>
  </si>
  <si>
    <t>Action Required</t>
  </si>
  <si>
    <t>Action Date</t>
  </si>
  <si>
    <t>Days</t>
  </si>
  <si>
    <t>Client</t>
  </si>
  <si>
    <t>New Action Required</t>
  </si>
  <si>
    <t>New Action Date</t>
  </si>
  <si>
    <t>Mohamed Elkholy</t>
  </si>
  <si>
    <t xml:space="preserve">مفيش اخبار جديدة عنه </t>
  </si>
  <si>
    <t>Mohamed Taqash</t>
  </si>
  <si>
    <t>Follow Up Next Week</t>
  </si>
  <si>
    <t>Majdi I. Al-Zoubi</t>
  </si>
  <si>
    <t xml:space="preserve">ده خلاص مبقاش معايا مهندس عبدالرحمن قالي ان فيه حد مكمل معاه </t>
  </si>
  <si>
    <t>Ashraf Gadallah</t>
  </si>
  <si>
    <t xml:space="preserve">في اجازة في مصر و هرجع يبعتلنا مشروع ديار الحرم عشان نخشه سوا </t>
  </si>
  <si>
    <t>Yasser Bahussin</t>
  </si>
  <si>
    <t>قالي ان البرنامج هيرسى علينا و مستني بس موفقه الادارة</t>
  </si>
  <si>
    <t>Sameh Saber</t>
  </si>
  <si>
    <t>Send Pre and follow up</t>
  </si>
  <si>
    <t>Youssef Adwi</t>
  </si>
  <si>
    <t>عاوز رقم حد من المشتريات</t>
  </si>
  <si>
    <t>Omar Alsaad</t>
  </si>
  <si>
    <t xml:space="preserve">هكلمه بكره تاني عشان اعرف التفاصيل الي قالي عليها </t>
  </si>
  <si>
    <t>Ibrahim Ahmed</t>
  </si>
  <si>
    <t>هكلمه يوم الاتنين عشان اعرف التفاصيل الجديدة</t>
  </si>
  <si>
    <t>Mohamed 3essa</t>
  </si>
  <si>
    <t>كلمته الاحد بس مردش عليا</t>
  </si>
  <si>
    <t>Ibrahim Sabry</t>
  </si>
  <si>
    <t xml:space="preserve">مفيش جديد مش معاه مشاريع تانيه حاليا </t>
  </si>
  <si>
    <t>Azazuddin Mohamed</t>
  </si>
  <si>
    <t>حدد معاه ميتنج يوم الثلاثاء 6/5/2026</t>
  </si>
  <si>
    <t>Mohamed Atef</t>
  </si>
  <si>
    <t>Ahmed Naserallah</t>
  </si>
  <si>
    <t>هتابع معاه الاسبوع الجي</t>
  </si>
  <si>
    <t>Abo Sultan</t>
  </si>
  <si>
    <t>خد منه رقم حد من المهندسين او لوكيشن الشركة</t>
  </si>
  <si>
    <t>📋 PROJECTS - Follow Up Required</t>
  </si>
  <si>
    <t>⚡ PROJECT QUICK UPDATE - Follow Up / Date</t>
  </si>
  <si>
    <t>Project #</t>
  </si>
  <si>
    <t>Opportunity</t>
  </si>
  <si>
    <t>Project</t>
  </si>
  <si>
    <t>New Follow Up</t>
  </si>
  <si>
    <t>New Follow Up Date</t>
  </si>
  <si>
    <t>PR1018</t>
  </si>
  <si>
    <t>المشروع هيخلص اقصى حاجة يوم السبت و المشروع ده مهم جدا لابعد حد عشان نقدر ناخد الباكدج كاملة</t>
  </si>
  <si>
    <t>PR1017</t>
  </si>
  <si>
    <t xml:space="preserve">لسة مفيش جديد عامله هول عشان عمر نفسه مش بيرد عليا لسة اول ما يرد كمل تسعير فالمشروع بلص ان مفيش تشانيل اصلا </t>
  </si>
  <si>
    <t>PR1023</t>
  </si>
  <si>
    <t>اتواصل مع ايمن شوف المشاريع الجديدة الي معاه</t>
  </si>
  <si>
    <t>PR1014</t>
  </si>
  <si>
    <t xml:space="preserve">كلمته و قالي مفيش اي ابديت جديد لسة مستنيه لما يقولي اخر الابديت و كلمته تاني انهاردة بس لسة مردش </t>
  </si>
  <si>
    <t>PR1007</t>
  </si>
  <si>
    <t>No Updates</t>
  </si>
  <si>
    <t>PR1016</t>
  </si>
  <si>
    <t xml:space="preserve">اتصلت بيه اكتر من مره و لسة مردش </t>
  </si>
  <si>
    <t>PR1027</t>
  </si>
  <si>
    <t>QT</t>
  </si>
  <si>
    <t>PR1030</t>
  </si>
  <si>
    <t>PR1021</t>
  </si>
  <si>
    <t xml:space="preserve">قالي انه عامل للمشاريع هولد و مستني يفضى عشان يقارن الاسعار الي بعتنهاله </t>
  </si>
  <si>
    <t>PR1022</t>
  </si>
  <si>
    <t>PR1025</t>
  </si>
  <si>
    <t>PR1029</t>
  </si>
  <si>
    <t>📊 WEEKLY ACTIVITY TRACKER - Plan vs Actual</t>
  </si>
  <si>
    <t>Week</t>
  </si>
  <si>
    <t>Plan</t>
  </si>
  <si>
    <t>Actual</t>
  </si>
  <si>
    <t>Variance</t>
  </si>
  <si>
    <t>%</t>
  </si>
  <si>
    <t>⏱️ TODAY'S PERFORMANCE</t>
  </si>
  <si>
    <t>🚗 F2F Visits</t>
  </si>
  <si>
    <t>📞 Calls Today</t>
  </si>
  <si>
    <t>🆕 New Leads (Week)</t>
  </si>
  <si>
    <t>💵 Weekly Quote Value</t>
  </si>
  <si>
    <t>Target: 3/day</t>
  </si>
  <si>
    <t>Target: 12/day</t>
  </si>
  <si>
    <t>Target: 5/week</t>
  </si>
  <si>
    <t>Target: 2M SAR</t>
  </si>
  <si>
    <t>🔍 Search Engine</t>
  </si>
  <si>
    <t>📅 SELECT PERIOD</t>
  </si>
  <si>
    <t>📆 Date</t>
  </si>
  <si>
    <t>📅 Week #</t>
  </si>
  <si>
    <t>🗓️ Month</t>
  </si>
  <si>
    <t>📊 Quarter</t>
  </si>
  <si>
    <t>📊 KPI DASHBOARD</t>
  </si>
  <si>
    <t>🚗 F2F Visits (Daily)</t>
  </si>
  <si>
    <t>📞 Calls (Daily)</t>
  </si>
  <si>
    <t>🏢 New Accounts (Weekly)</t>
  </si>
  <si>
    <t>💰 Quote Value (Weekly)</t>
  </si>
  <si>
    <t>Target: 3</t>
  </si>
  <si>
    <t>Target: 12</t>
  </si>
  <si>
    <t>Target: 5</t>
  </si>
  <si>
    <t>📋 Tech Submittals (Monthly)</t>
  </si>
  <si>
    <t>🔍 In-Hand Review (Monthly)</t>
  </si>
  <si>
    <t>📝 Tender Review (Monthly)</t>
  </si>
  <si>
    <t>🏆 Total Projects (Quarter)</t>
  </si>
  <si>
    <t>Target: 4</t>
  </si>
  <si>
    <t>Target: 2</t>
  </si>
  <si>
    <t>Pipeline Total</t>
  </si>
  <si>
    <t>🔍 SEARCH ENGINE</t>
  </si>
  <si>
    <t>🔎 Name / Company</t>
  </si>
  <si>
    <t>📞 Phone Number</t>
  </si>
  <si>
    <t>🏗️ Project Name</t>
  </si>
  <si>
    <t>📍 Location</t>
  </si>
  <si>
    <t>sameh saber</t>
  </si>
  <si>
    <t>Search in:</t>
  </si>
  <si>
    <t>All</t>
  </si>
  <si>
    <t>📋 Contact / Account RESULTS</t>
  </si>
  <si>
    <t>Position / Status</t>
  </si>
  <si>
    <t>🏗️ PROJECT SEARCH</t>
  </si>
  <si>
    <t>Client Name</t>
  </si>
  <si>
    <t>Stage / Status</t>
  </si>
  <si>
    <t>📊 QUICK STATS &amp; DATE RANGE</t>
  </si>
  <si>
    <t>TECHNICAL SUBMITTALS TRACKER &amp; SEARCH</t>
  </si>
  <si>
    <t>SEARCH BY PERIOD</t>
  </si>
  <si>
    <t>Week #</t>
  </si>
  <si>
    <t>Month</t>
  </si>
  <si>
    <t>Quarter</t>
  </si>
  <si>
    <t>Year</t>
  </si>
  <si>
    <t>SUBMITTALS COUNT RESULTS</t>
  </si>
  <si>
    <t>By Week</t>
  </si>
  <si>
    <t>By Month</t>
  </si>
  <si>
    <t>By Quarter</t>
  </si>
  <si>
    <t>By Year</t>
  </si>
  <si>
    <t>OVERALL SUBMITTALS STATUS</t>
  </si>
  <si>
    <t>Tech Submission</t>
  </si>
  <si>
    <t>Tech Approved</t>
  </si>
  <si>
    <t>Total All Time</t>
  </si>
  <si>
    <t>Monthly Target</t>
  </si>
  <si>
    <t>Status:</t>
  </si>
  <si>
    <t>TIP: Update Status in 'Projects Follow UP' (Col I) to 'Technical Submission' or 'Technically Approved' to track</t>
  </si>
  <si>
    <t>Current Status Values: Lost, Send to Client, RFQ Processing, Gather Information, Hold</t>
  </si>
  <si>
    <t xml:space="preserve">No. In Hand Projects </t>
  </si>
  <si>
    <t>Total Projects =</t>
  </si>
  <si>
    <t>Hit Rate %</t>
  </si>
  <si>
    <t>Total Amount</t>
  </si>
  <si>
    <t>No. Tender Projects</t>
  </si>
  <si>
    <t>Quality=</t>
  </si>
  <si>
    <t>#PR</t>
  </si>
  <si>
    <t>Client Phone Number</t>
  </si>
  <si>
    <t>Company Name</t>
  </si>
  <si>
    <t>Client Email</t>
  </si>
  <si>
    <t>Project Stage</t>
  </si>
  <si>
    <t>Project Location</t>
  </si>
  <si>
    <t>Est. value</t>
  </si>
  <si>
    <t>Action Done</t>
  </si>
  <si>
    <t>Follow Up</t>
  </si>
  <si>
    <t>Follow Up Date</t>
  </si>
  <si>
    <t>Est. value (SAR)</t>
  </si>
  <si>
    <t>Gone To Referral ?</t>
  </si>
  <si>
    <t>Column1</t>
  </si>
  <si>
    <t>Current Follow Up</t>
  </si>
  <si>
    <t>Current Follow Up Date</t>
  </si>
  <si>
    <t>PR1004</t>
  </si>
  <si>
    <t>KIX Futsal Complex</t>
  </si>
  <si>
    <t>Mohamed Hanifa</t>
  </si>
  <si>
    <t>MHM</t>
  </si>
  <si>
    <t>hanifa@almagamsi.com</t>
  </si>
  <si>
    <t xml:space="preserve">بعت للعميل التسعير و مستني الرد </t>
  </si>
  <si>
    <t xml:space="preserve">رقمه مغلق حاليا و بعتله واتساب </t>
  </si>
  <si>
    <t xml:space="preserve"> International Medical Center IMC Obhur Hospital Project</t>
  </si>
  <si>
    <t>Omar Abdallah - Mazen Abdelghany</t>
  </si>
  <si>
    <t xml:space="preserve">966549733284 - 966547160894 </t>
  </si>
  <si>
    <t>Alsaad -     Vision</t>
  </si>
  <si>
    <t>faisal.skeik@alsaad.com.sa</t>
  </si>
  <si>
    <t xml:space="preserve">المشروع ده بقى Shortlisted على شركة السعد و شركة حسن علام ( و الي ماسك الباكدج بتاعتنا هو Vision ) و كمان شركة بس لسة مش عارف اسمها  و حاليا احنا مستنيين نشوف هيرسى على مين و يبعتولنا Phase 2 ---- الشركات هي فريسينيه و حسن علام و السعد و ACC و اخر تقديم ليهم يوم الاحد </t>
  </si>
  <si>
    <t>PR1008</t>
  </si>
  <si>
    <t xml:space="preserve">Alsalama Hospital </t>
  </si>
  <si>
    <t>Alsalama Hospital</t>
  </si>
  <si>
    <t>yasser.bahussain@alsalamahospital.com</t>
  </si>
  <si>
    <t>عنده سيستم PA ببراند Honeywell Pava x618 و محتاج في ال announcement يكون بشكل معين بعت الحاجة لتيم التكنيكال و مستني منهم الرد</t>
  </si>
  <si>
    <t>مديره رجع بس لسة بيظبط الدنيا معاه و حددت معاه ميتنج الاسبوع الجي عشان اقعد انا و هو نتكلم في الاسعار</t>
  </si>
  <si>
    <t>Zedca منافذ حدودية</t>
  </si>
  <si>
    <t>RedSea</t>
  </si>
  <si>
    <t>Gather Info.</t>
  </si>
  <si>
    <t xml:space="preserve">مشروع هيبقى مع الشركة دي قريب جدا و هيمضوا العقد المشروع ده بقاله سنتين و نص و لسة هيبدأوا شغل فيه الايام الجاية دي بس رتمه بطيئ شوية </t>
  </si>
  <si>
    <t>PR1015</t>
  </si>
  <si>
    <t>Bab Al Khair Hospital Q4</t>
  </si>
  <si>
    <t>مشروع خيري و المشروع هيروح للشركة الاقل سعر في كل حاجة</t>
  </si>
  <si>
    <t xml:space="preserve">المشروع حصل عليه Hold من SGH عشان البدجت مش مناسبة و لسة بيعملوا Value Engineering </t>
  </si>
  <si>
    <t>Mini Market in KAUST Q4</t>
  </si>
  <si>
    <t>Omar El Hanoun</t>
  </si>
  <si>
    <t xml:space="preserve">مشروع مهم MACC و محتاجين فيه FA و يكون فيه امكانيه انه يتربط على ال KAUST في المستقبل </t>
  </si>
  <si>
    <t>Al-Mukhmal Resort</t>
  </si>
  <si>
    <t>Hold</t>
  </si>
  <si>
    <t xml:space="preserve">مستني المشروعات التانيه تخلص عشان نخش في المشروع بس لما يرد عليا الاول اصلا </t>
  </si>
  <si>
    <t>Rosemond Hotel</t>
  </si>
  <si>
    <t>Khaled Hussain</t>
  </si>
  <si>
    <t>المشروع ده من خالد نفسه الي شغال جوه شركة كريت و عاوز يخلصه من بره بره و نطلعله عمولته المشروع ده مش مع Creet  ده مع خالد نفسه بس</t>
  </si>
  <si>
    <t>GRC Villas</t>
  </si>
  <si>
    <t>Ehab GRC</t>
  </si>
  <si>
    <t xml:space="preserve">المشروع اتقسم بيني و بين عبدالرحمن و الكوتيشن طلعت و بعتناها للراجل </t>
  </si>
  <si>
    <t>Qiddya Project</t>
  </si>
  <si>
    <t>المشروع مع نفس الراجل مكتبه في جدة و مكان المشروع في الرياض و شغالين عليه انا و عبدالرحمن</t>
  </si>
  <si>
    <t>Sukoon Care Hospital</t>
  </si>
  <si>
    <t>Ayman Aburub</t>
  </si>
  <si>
    <t xml:space="preserve">المشروع لسة الداتا بتاعته مع مهندس عبدالرحمن القفاص لسة مستنيه يبعتهالي و المشروع ده مع صاحب المهندس عبدرالحمن و هيبعتلي التفاصيل و كده هو مش مع ايمن الي انت كاتبه </t>
  </si>
  <si>
    <t>MARAFY ALAROUS Roshan Group</t>
  </si>
  <si>
    <t>Helmy Abdelrazeq</t>
  </si>
  <si>
    <t xml:space="preserve">بعتنا الكوتيشن يوم 12/8 </t>
  </si>
  <si>
    <t xml:space="preserve">هتابع مع العميل </t>
  </si>
  <si>
    <t>مبنى الهيئة العامة</t>
  </si>
  <si>
    <t>Abdelaziz Hassan</t>
  </si>
  <si>
    <t xml:space="preserve">بعتهاله و بحاول اظبط معاه ميتنج بس هو مشغول جدا هروحله اول الاسبوع الجي </t>
  </si>
  <si>
    <t>BOULEVARD RESIDENTIAL</t>
  </si>
  <si>
    <t>مستني رده لسة المشروع تندر</t>
  </si>
  <si>
    <t xml:space="preserve">مستني باقي الكوتيشن </t>
  </si>
  <si>
    <t>مشروع تيسر</t>
  </si>
  <si>
    <t>Mohamed Abdelatif</t>
  </si>
  <si>
    <t>هنغير الباكدج بتاعت المشروع و لسة مستنيها</t>
  </si>
  <si>
    <t>PR1031</t>
  </si>
  <si>
    <t>Bn Dawood Al-Hamrah</t>
  </si>
  <si>
    <t>Mohamed</t>
  </si>
  <si>
    <t>لسة شغالين عليه</t>
  </si>
  <si>
    <t>PR1034</t>
  </si>
  <si>
    <t>MIRAF ONE</t>
  </si>
  <si>
    <t>Othman Mohamed</t>
  </si>
  <si>
    <t xml:space="preserve">اتكلمت مع امه لا اله الا الله و مفيش حد فيهم بيدي اي معلومة </t>
  </si>
  <si>
    <t xml:space="preserve">كلمت مهندس محمد عشان اتابع معاه </t>
  </si>
  <si>
    <t>PR1036</t>
  </si>
  <si>
    <t>Marriot Jeddah</t>
  </si>
  <si>
    <t>PR1037</t>
  </si>
  <si>
    <t xml:space="preserve">RUA Al Madinah Superblock 5  </t>
  </si>
  <si>
    <t>Mazen Vision</t>
  </si>
  <si>
    <t>مخلصين بس ال BMS و ال Lighting Control ب 16 مليون والباقي ميار شغاله عليه لسة</t>
  </si>
  <si>
    <t>PR1038</t>
  </si>
  <si>
    <t>Roya Al Haram</t>
  </si>
  <si>
    <t xml:space="preserve">ال Lighting Control خلص و ال BMS خلص -- Send </t>
  </si>
  <si>
    <t>PR1039</t>
  </si>
  <si>
    <t>Almoosa Schools</t>
  </si>
  <si>
    <t>Eslam Abo Elezz</t>
  </si>
  <si>
    <t xml:space="preserve">حصل فيه كتير جدا جدا </t>
  </si>
  <si>
    <t>PR1040</t>
  </si>
  <si>
    <t>رابطة العالم الاسلامي</t>
  </si>
  <si>
    <t>Omar Albatal</t>
  </si>
  <si>
    <t>شغالين على ال BMS و ال PA , CCTV , Passive ,</t>
  </si>
  <si>
    <t>PR1041</t>
  </si>
  <si>
    <t>WATCO Madina</t>
  </si>
  <si>
    <t>PR1042</t>
  </si>
  <si>
    <t>Caterion CLA</t>
  </si>
  <si>
    <t>PR1043</t>
  </si>
  <si>
    <t>Al- TAhliyah Business Park</t>
  </si>
  <si>
    <t>Salman MEP Manager</t>
  </si>
  <si>
    <t xml:space="preserve">مستني ابعتله سعر كوتيشن بوش عشان هو لازم يكون معاه 2 اوبشن يوريهم للاستشاري اما فارديون بتاع هانويل </t>
  </si>
  <si>
    <t>PR1044</t>
  </si>
  <si>
    <t>Saudi German Hospital</t>
  </si>
  <si>
    <t>PR1045</t>
  </si>
  <si>
    <t>PR1046</t>
  </si>
  <si>
    <t>PR1047</t>
  </si>
  <si>
    <t>PR1048</t>
  </si>
  <si>
    <t>PR1049</t>
  </si>
  <si>
    <t>PR1050</t>
  </si>
  <si>
    <t>PR1051</t>
  </si>
  <si>
    <t>PR1052</t>
  </si>
  <si>
    <t>PR1053</t>
  </si>
  <si>
    <t>PR1054</t>
  </si>
  <si>
    <t>PR1055</t>
  </si>
  <si>
    <t>PR1056</t>
  </si>
  <si>
    <t>PR1057</t>
  </si>
  <si>
    <t>PR1058</t>
  </si>
  <si>
    <t>PR1059</t>
  </si>
  <si>
    <t>PR1060</t>
  </si>
  <si>
    <t>PR1061</t>
  </si>
  <si>
    <t>PR1062</t>
  </si>
  <si>
    <t>PR1063</t>
  </si>
  <si>
    <t>PR1064</t>
  </si>
  <si>
    <t>PR1065</t>
  </si>
  <si>
    <t>PR1066</t>
  </si>
  <si>
    <t>PR1067</t>
  </si>
  <si>
    <t>PR1068</t>
  </si>
  <si>
    <t>PR1069</t>
  </si>
  <si>
    <t>PR1070</t>
  </si>
  <si>
    <t>PR1071</t>
  </si>
  <si>
    <t>PR1072</t>
  </si>
  <si>
    <t>PR1073</t>
  </si>
  <si>
    <t>PR1074</t>
  </si>
  <si>
    <t>PR1075</t>
  </si>
  <si>
    <t>PR1076</t>
  </si>
  <si>
    <t>PR1077</t>
  </si>
  <si>
    <t>PR1078</t>
  </si>
  <si>
    <t>PR1079</t>
  </si>
  <si>
    <t>PR1080</t>
  </si>
  <si>
    <t>PR1081</t>
  </si>
  <si>
    <t>PR1082</t>
  </si>
  <si>
    <t>PR1083</t>
  </si>
  <si>
    <t>PR1084</t>
  </si>
  <si>
    <t>PR1085</t>
  </si>
  <si>
    <t>PR1086</t>
  </si>
  <si>
    <t>PR1087</t>
  </si>
  <si>
    <t>PR1088</t>
  </si>
  <si>
    <t>PR1089</t>
  </si>
  <si>
    <t>PR1090</t>
  </si>
  <si>
    <t>PR1091</t>
  </si>
  <si>
    <t>PR1092</t>
  </si>
  <si>
    <t>PR1093</t>
  </si>
  <si>
    <t>PR1094</t>
  </si>
  <si>
    <t>PR1095</t>
  </si>
  <si>
    <t>PR1096</t>
  </si>
  <si>
    <t>PR1097</t>
  </si>
  <si>
    <t>PR1098</t>
  </si>
  <si>
    <t>PR1099</t>
  </si>
  <si>
    <t>PR1100</t>
  </si>
  <si>
    <t>PR1101</t>
  </si>
  <si>
    <t>PR1102</t>
  </si>
  <si>
    <t>PR1103</t>
  </si>
  <si>
    <t>PR1104</t>
  </si>
  <si>
    <t>PR1105</t>
  </si>
  <si>
    <t>PR1106</t>
  </si>
  <si>
    <t>PR1107</t>
  </si>
  <si>
    <t>PR1108</t>
  </si>
  <si>
    <t>PR1109</t>
  </si>
  <si>
    <t>PR1110</t>
  </si>
  <si>
    <t>PR1111</t>
  </si>
  <si>
    <t>PR1112</t>
  </si>
  <si>
    <t>PR1113</t>
  </si>
  <si>
    <t>PR1114</t>
  </si>
  <si>
    <t>PR1115</t>
  </si>
  <si>
    <t>PR1116</t>
  </si>
  <si>
    <t>PR1117</t>
  </si>
  <si>
    <t>PR1118</t>
  </si>
  <si>
    <t>PR1119</t>
  </si>
  <si>
    <t>PR1120</t>
  </si>
  <si>
    <t>PR1121</t>
  </si>
  <si>
    <t>PR1122</t>
  </si>
  <si>
    <t>PR1123</t>
  </si>
  <si>
    <t>PR1124</t>
  </si>
  <si>
    <t>PR1125</t>
  </si>
  <si>
    <t>PR1126</t>
  </si>
  <si>
    <t>PR1127</t>
  </si>
  <si>
    <t>PR1128</t>
  </si>
  <si>
    <t>PR1129</t>
  </si>
  <si>
    <t>PR1130</t>
  </si>
  <si>
    <t>PR1131</t>
  </si>
  <si>
    <t>PR1132</t>
  </si>
  <si>
    <t>PR1133</t>
  </si>
  <si>
    <t>PR1134</t>
  </si>
  <si>
    <t>PR1135</t>
  </si>
  <si>
    <t>PR1136</t>
  </si>
  <si>
    <t>PR1137</t>
  </si>
  <si>
    <t>PR1138</t>
  </si>
  <si>
    <t>PR1139</t>
  </si>
  <si>
    <t>PR1140</t>
  </si>
  <si>
    <t>PR1141</t>
  </si>
  <si>
    <t>PR1142</t>
  </si>
  <si>
    <t>PR1143</t>
  </si>
  <si>
    <t>PR1144</t>
  </si>
  <si>
    <t>PR1145</t>
  </si>
  <si>
    <t>PR1146</t>
  </si>
  <si>
    <t>PR1147</t>
  </si>
  <si>
    <t>PR1148</t>
  </si>
  <si>
    <t>PR1149</t>
  </si>
  <si>
    <t>PR1150</t>
  </si>
  <si>
    <t>PR1151</t>
  </si>
  <si>
    <t>PR1152</t>
  </si>
  <si>
    <t>PR1153</t>
  </si>
  <si>
    <t>Google Map Location</t>
  </si>
  <si>
    <t>Company Based on</t>
  </si>
  <si>
    <t>Email</t>
  </si>
  <si>
    <t>Last Call Date</t>
  </si>
  <si>
    <t>Notes</t>
  </si>
  <si>
    <t>Next Follow Up Notes</t>
  </si>
  <si>
    <t>Next Follow Up Date</t>
  </si>
  <si>
    <t>Current Action Required</t>
  </si>
  <si>
    <t>Current Action Date</t>
  </si>
  <si>
    <t>Mohamed Hussain</t>
  </si>
  <si>
    <t>Creet</t>
  </si>
  <si>
    <t>https://maps.app.goo.gl/dDuLptLbo71wA8du9</t>
  </si>
  <si>
    <t>m.hussain@creet.net</t>
  </si>
  <si>
    <t>Procurement Engineer</t>
  </si>
  <si>
    <t xml:space="preserve">بعتلنا مشروع New Industrial Factory عشان نعدل الكميات و نبعتله السعر الجديد و لسة </t>
  </si>
  <si>
    <t>اول ما الكوتيشن تخلص هكلمه</t>
  </si>
  <si>
    <t>Nasser Bn Mounir</t>
  </si>
  <si>
    <t>Inshaa Aljezra</t>
  </si>
  <si>
    <t>https://maps.app.goo.gl/JzJ3RJ7bUkrwNRUZA</t>
  </si>
  <si>
    <t>--</t>
  </si>
  <si>
    <t>Procurement Manager</t>
  </si>
  <si>
    <t>خلصوا المشاريع الي معاهم حاليا و فيه مشروع تاني معاهم بعد الحج قالي ابعتلي البروفايل و ابعتلي البزنس كارد</t>
  </si>
  <si>
    <t>لسة على نفس المشروع القديم و مفيش جديد خالص</t>
  </si>
  <si>
    <t>Asghar Ali</t>
  </si>
  <si>
    <t>ALghanem</t>
  </si>
  <si>
    <t xml:space="preserve"> asgar.ali@orc-constructions.com</t>
  </si>
  <si>
    <t>Engineering rep</t>
  </si>
  <si>
    <t xml:space="preserve">معنهمش مشاريع جديدة </t>
  </si>
  <si>
    <t>Send Business Card &amp; Company Profile</t>
  </si>
  <si>
    <t>Mark Brian</t>
  </si>
  <si>
    <t>Hexagon</t>
  </si>
  <si>
    <t>https://maps.app.goo.gl/iSnFecR4DVJ6biXV9</t>
  </si>
  <si>
    <t>Dammam</t>
  </si>
  <si>
    <t>Brian.Nemi@hexagon.sa</t>
  </si>
  <si>
    <t>Technical Manager</t>
  </si>
  <si>
    <t>Na</t>
  </si>
  <si>
    <t>Mohamed Abdelhady</t>
  </si>
  <si>
    <t>GAC</t>
  </si>
  <si>
    <t>https://maps.app.goo.gl/a1oNGzQ8BDT2fyjHA</t>
  </si>
  <si>
    <t>mohammed.abdulhadi@gac-cont.com</t>
  </si>
  <si>
    <t>Engineering Manager</t>
  </si>
  <si>
    <t>معاه مشروع Digital Signage Screen في مستشفى الملك فهد التخصصي في الدمام و تفاصيل المشروع معاك في النوت و مستني منك كوتيشن</t>
  </si>
  <si>
    <t>Send Quotation and Ask for the sister company for BMS</t>
  </si>
  <si>
    <t>Abdelrahman</t>
  </si>
  <si>
    <t>Al-Fanar</t>
  </si>
  <si>
    <t>https://maps.app.goo.gl/c5pWiicmKMLBYKo58</t>
  </si>
  <si>
    <t>ساب شركة السعد و راح شركة الفنار و معاه مشروع King Salman Park ده تندر لسة و مفيش جديد خالص حمدي جلال هو الي بيتابع معاه</t>
  </si>
  <si>
    <t>https://maps.app.goo.gl/hduVAmcVWzY67pd2A</t>
  </si>
  <si>
    <t xml:space="preserve">Engineering manager </t>
  </si>
  <si>
    <t>ابعتله البروفايل و اتابع معاه كل اسبوع لحد ما يفتكرني دايما</t>
  </si>
  <si>
    <t xml:space="preserve">عندي ميتنج معاه يوم الاحد </t>
  </si>
  <si>
    <t>Ibrahim Abdelhamid</t>
  </si>
  <si>
    <t>Redcon International</t>
  </si>
  <si>
    <t>ibrahim.abdelhamid@redconinternational.com</t>
  </si>
  <si>
    <t>عاوز يسعر Spine Mall و  ال Sports Club بتاع مشروع Benan TMG طلعت مصطفى و حولت الكونتاكت لمهندس حمدي عشان المكتب بتاعهم في الرياض</t>
  </si>
  <si>
    <t>ده خلاص بقا مع مهندس حمدي</t>
  </si>
  <si>
    <t xml:space="preserve">Hamdy </t>
  </si>
  <si>
    <t>Hussni</t>
  </si>
  <si>
    <t>Jash</t>
  </si>
  <si>
    <t>hussni@jash.com.sa</t>
  </si>
  <si>
    <t>-</t>
  </si>
  <si>
    <t xml:space="preserve">عنده مشروع تجديد صالة الامير فيصل للفنون فيها Barriers , CCTV , BMS و قالي ان انا سالت عليكم و انتم سعركم غالي جدا </t>
  </si>
  <si>
    <t>اداني رقم مهندس تاني هكلمه دلوقتي عشان نروح نعمل معاينه</t>
  </si>
  <si>
    <t>Fairmont Makkah</t>
  </si>
  <si>
    <t>ده مهم عنده سيستم عاوز ينفذه في الفندق و قالي ابعتلي الميل بتاعك عشان ابعتلك تسعرلي</t>
  </si>
  <si>
    <t>كلمته و قالي الحاجة وصلتني و انه كان مشغول و هيبعت المشروع على الميل على طول</t>
  </si>
  <si>
    <t>Refaat</t>
  </si>
  <si>
    <t>SIAC KSA Branch</t>
  </si>
  <si>
    <t>Project Manager</t>
  </si>
  <si>
    <t>كان معاهم مشروعين و هم خلاص في مرحلة التسليم الاخيرة و مفيش معاهم حاجة تاني حاليا</t>
  </si>
  <si>
    <t>Follow up Next Week</t>
  </si>
  <si>
    <t>AlShamela</t>
  </si>
  <si>
    <t>hemlyac@alshamela.com.sa</t>
  </si>
  <si>
    <t xml:space="preserve">عاوز فايل ال Pre Qualification بتاعنا على الميل عشان يعرف احنا ممكن نشتغل معاهم في ايه </t>
  </si>
  <si>
    <t>تابع معاه يوم الاحد</t>
  </si>
  <si>
    <t>شركة رؤى الحرم المكي</t>
  </si>
  <si>
    <t>عاوز حد من هناك ضروري اعرف المشاريع الي عندهم</t>
  </si>
  <si>
    <t xml:space="preserve">Al-Saif </t>
  </si>
  <si>
    <t>ده مهندس عماد كان مقدمله مشروع IMC كنت بتابع معاه بس مفيش معلومات جديدة و قالي انه هيدي رقمي للمشتريات عشان يبعتولي لو فيه مشاريع جديدة</t>
  </si>
  <si>
    <t>Freyssinet Saudi Arabia</t>
  </si>
  <si>
    <t>https://maps.app.goo.gl/h5ByLCjX7i9xPuA27</t>
  </si>
  <si>
    <t>الشركة دي من ال shortlisted الي المفروض نبعتلها في مشروع IMC كمان و اخر تقديم ليهم هو يوم الاحد 26-4-2026</t>
  </si>
  <si>
    <t>Book a Visit</t>
  </si>
  <si>
    <t>Emad Hamwi</t>
  </si>
  <si>
    <t>BlueApps</t>
  </si>
  <si>
    <t>imad@blueapps.net</t>
  </si>
  <si>
    <t>Marketing Manager</t>
  </si>
  <si>
    <t xml:space="preserve">هتابع معاه عادي مش معاهم شغل حاليا </t>
  </si>
  <si>
    <t xml:space="preserve">الاكونت ده مع عبدالرحمن خلاص </t>
  </si>
  <si>
    <t>Rafa Gulf Contracting</t>
  </si>
  <si>
    <t>majdi@rafagulf.com</t>
  </si>
  <si>
    <t xml:space="preserve">المهندس حمدي حاموي بتاع شركة BlueApps مسعر من عندنا مشروع اسمه CGC لشركة Rafa Gulf الي هو المهندس مجدي و بيقولي ان فيه اخبار قريبا عن المشروع عشان الادارة اتغيرت و احتمال يخلصوا فيه </t>
  </si>
  <si>
    <t xml:space="preserve">Mohamed Khalifah </t>
  </si>
  <si>
    <t xml:space="preserve">Al-Awalat Company </t>
  </si>
  <si>
    <t>Project manager</t>
  </si>
  <si>
    <t>بعتلي المشروع</t>
  </si>
  <si>
    <t>Mohamed Abodagga</t>
  </si>
  <si>
    <t>Afrina ACUD</t>
  </si>
  <si>
    <t>https://maps.app.goo.gl/iWmTQ4WzUsgV1X7i9</t>
  </si>
  <si>
    <t>ashraf.elsayed@acud.sa</t>
  </si>
  <si>
    <t>Technical Office Manager</t>
  </si>
  <si>
    <t>الشركة دي مهمة جدا معاهم 4 مشاريع in hand و معاهم بالاخص مشروع ابراج موطن المسار الي على طريق جده 
كلمته و هحدد معاه ميعاد بعد ما يبص على البروفايل بتاعنا</t>
  </si>
  <si>
    <t>هتابع معاه كمان يومين</t>
  </si>
  <si>
    <t>Khaled ElShiekh</t>
  </si>
  <si>
    <t>MEP Manager</t>
  </si>
  <si>
    <t xml:space="preserve">الشركة دي مهمة جدا معاهم 4 مشاريع in hand و معاهم بالاخص مشروع ابراج موطن المسار الي على طريق جده 
</t>
  </si>
  <si>
    <t>مردش و هكلمه تاني بس خلاص م/ اششرف رد عليا</t>
  </si>
  <si>
    <t>عبد العزيز حبيب</t>
  </si>
  <si>
    <t>شركة الضيافة الشامخة</t>
  </si>
  <si>
    <t>MEP Engineer</t>
  </si>
  <si>
    <t>لسة هكلمه نزلت شوفت اليافطة و انا معدي في الزايدي</t>
  </si>
  <si>
    <t>مسار العقارية</t>
  </si>
  <si>
    <t>Sohail</t>
  </si>
  <si>
    <t>FOM العقارية</t>
  </si>
  <si>
    <t>Supervisor</t>
  </si>
  <si>
    <t>ده ال Supervisor بتاع مشروع V-Yard لمجموعة الزايدي في مكة هكلمه و اشوف ازاي اخش مع المهندسين</t>
  </si>
  <si>
    <t>Roshan</t>
  </si>
  <si>
    <t>ده مشروع مجمع المنار عبارة عن سكني و تجاري و المفروض اتابع مع عبدالرحمن محمد و اعرف التفاصيل</t>
  </si>
  <si>
    <t>Ahmed Abo Saif</t>
  </si>
  <si>
    <t>انجاز</t>
  </si>
  <si>
    <t xml:space="preserve">خدت رقم احمد ابو سيف ده MEP Manager في شركة انجاز و دي شركة MEP Sub Contactor في المشروع و كلمته و لسة مردش عليا بخصوص مشروع بوابة الملك سلمان </t>
  </si>
  <si>
    <t>Ahmed Yasser</t>
  </si>
  <si>
    <t>واحة الرفاع</t>
  </si>
  <si>
    <t>ده فندق واحة الرفاع بيعملوا تجديدات من وقت للتاني و تحتيهم اكثر من فندق شغالين عليه و كلمته و مردش و هكلمه تاني انهاردة</t>
  </si>
  <si>
    <t>Mohamed Radwan</t>
  </si>
  <si>
    <t>Abdelrahman El-Kaffas</t>
  </si>
  <si>
    <t>Sir Kumar Morgan</t>
  </si>
  <si>
    <t>Electrical Engineer</t>
  </si>
  <si>
    <t xml:space="preserve">كلمته عشان مستشفى السلامة عشان احدد معاه الميعاد بكرة الساعة 9 </t>
  </si>
  <si>
    <t>Honeywell</t>
  </si>
  <si>
    <t>Onity Account Manager</t>
  </si>
  <si>
    <t>م/ عمير اداني رقمه اكلمه عشان انزل اقابله و اتعرف عليه و م اخد منه مشاريع  الميتنج يوم الاحد القادم و هأكد عليه السبت</t>
  </si>
  <si>
    <t>Abdallah Lutf</t>
  </si>
  <si>
    <t>Al-Jammaz</t>
  </si>
  <si>
    <t>Abdullah.lutf@al-jammaz.com</t>
  </si>
  <si>
    <t>Account Manager</t>
  </si>
  <si>
    <t>روحت الايفنت بتاع اروبا الي هو ايفنت الجماز للتكنولوجيا ده موزع لبراندات كتير جدا</t>
  </si>
  <si>
    <t>Hassan Samir Zino</t>
  </si>
  <si>
    <t>Hasan.zino@honeywell.com</t>
  </si>
  <si>
    <t>Senior Accounts Manager Hospitality</t>
  </si>
  <si>
    <t>حسن ده الي هيكون معايا في اي ميتنج يخص الفنادق الجديدة و القديمة في مكة و جدة و المدينة و تخصصه GRMS &amp; KNX</t>
  </si>
  <si>
    <t>Alaa</t>
  </si>
  <si>
    <t>BMS Manager</t>
  </si>
  <si>
    <t>مهندس علاء ده مدير ال BMS &amp; PLC</t>
  </si>
  <si>
    <t>عاوز رقمه</t>
  </si>
  <si>
    <t>Mohamed Kahla</t>
  </si>
  <si>
    <t>Bits Arabia</t>
  </si>
  <si>
    <t>mohamedkahla@bitsarabia.com</t>
  </si>
  <si>
    <t>Pre-Sales ICT Manager</t>
  </si>
  <si>
    <t xml:space="preserve">اتعرفت عليه في الايفنت و ممكن يكون فيه تواصل بينا مستمر عشان المشاريع لو ينفع نبدل مع بعض المشاريع دي </t>
  </si>
  <si>
    <t>AlShamela - Riyadh</t>
  </si>
  <si>
    <t>بعتله على الواتساب الميل بتاعي و البزنس كارد و قالي انه هيتابع معايا لو فيه اي مشاريع جديدة جاتله و ساب شركة الشاملة و راح شركة الرياض</t>
  </si>
  <si>
    <t>ALmawel Contracting</t>
  </si>
  <si>
    <t xml:space="preserve">كلمته و مكانش يعرفنا سألته على المشاريع بس دلوقتي مفيش حاجة و الاسبوع الجي هيكون فيه مشروع </t>
  </si>
  <si>
    <t>Abdelrahman Rubei</t>
  </si>
  <si>
    <t>KAMC</t>
  </si>
  <si>
    <t>كلمته و مردش و بعتله على الواتساب عشان اتابع معاه لو فيه مشاريع</t>
  </si>
  <si>
    <t>Freyssinet</t>
  </si>
  <si>
    <t>sameh.saber@fsa.com.sa</t>
  </si>
  <si>
    <t>Electrical Procurement Manager</t>
  </si>
  <si>
    <t xml:space="preserve">لسة متصل بيا دلوقتي و قالي ابعتلي Pre و هنتكلم تاني نتعرف على بعض اكتر </t>
  </si>
  <si>
    <t>Alagamsi MHM</t>
  </si>
  <si>
    <t>طلب مني ديسكاونت كويس عشان هو بيجهز ال submittal بتاعه الاخير خلاص و ان شاء الله يكون المشروع معانا</t>
  </si>
  <si>
    <t>Abdelrahman Al-Shibi</t>
  </si>
  <si>
    <t>Rafa Gulf</t>
  </si>
  <si>
    <t>abdelrahman.alshibi@rafagulf.com</t>
  </si>
  <si>
    <t>فيه مشروع اسمه Code 3 اتبعتلهم Technical Submittal و خلاص الاستشاري وافق عليه و مستني الابديت الاخير</t>
  </si>
  <si>
    <t>المشروع ده عبدالرحمن عبدالعيلم بيتابعه في الرياش</t>
  </si>
  <si>
    <t>Mohamed IKK</t>
  </si>
  <si>
    <t>Kabbani Construction Group</t>
  </si>
  <si>
    <t>https://share.google/BeqySgEuSwCLv1en5</t>
  </si>
  <si>
    <t>mohammadh.saleh@ikkgroup.com</t>
  </si>
  <si>
    <t xml:space="preserve">كلمته يوم الاحد و قالي ابعتلي على الميل البروفايل بتاع الشركة و انا هخلي الشباب يحطوك في ال  cc في اي مشروع </t>
  </si>
  <si>
    <t>تابع معاه تاني لو مردش عليك</t>
  </si>
  <si>
    <t xml:space="preserve">Afroz Misk </t>
  </si>
  <si>
    <t xml:space="preserve">ده مهندس صالة الامير فيصل للفنون </t>
  </si>
  <si>
    <t>Mo2nes Amr</t>
  </si>
  <si>
    <t>m.amr@creet.net</t>
  </si>
  <si>
    <t>كلمته عشان اعرف الفلوس المتأخره هتتحول امتى و كمان عشان هم ليهم عندنا بضاعة</t>
  </si>
  <si>
    <t xml:space="preserve">مصطفى هزاع بيشوف اخر ابديت للبضاعه و كمان أمل بتشوف المستحقات بتاعتنا قد ايه </t>
  </si>
  <si>
    <t>IHCC</t>
  </si>
  <si>
    <t>y.adwi@ihcc.sa</t>
  </si>
  <si>
    <t>Senior Tender Engineer</t>
  </si>
  <si>
    <t xml:space="preserve">قالي ان مشروع Western Tower ده مع المشتريات خلاص و هيبعتلي رقم حد منهم بكرة </t>
  </si>
  <si>
    <t>Alsaad Contracting</t>
  </si>
  <si>
    <t>omar.abdullah@alsaad.com.sa</t>
  </si>
  <si>
    <t>Tender Engineer</t>
  </si>
  <si>
    <t xml:space="preserve">قالي انه هيجيبلي تفاصيل IMC بكرة و كمان فيه مشروع من سنتين و نص على حدود الاردن اسمه Zedca ده عبارة عن منافذ حدودية </t>
  </si>
  <si>
    <t>Sedra Electric</t>
  </si>
  <si>
    <t>Sales Manager</t>
  </si>
  <si>
    <t xml:space="preserve">سألته على المشروع بتاع onity بس مفيش رد جديد لسة الراجل مش بيرد علينا </t>
  </si>
  <si>
    <t xml:space="preserve">هكلمه كمان 3 ايام كده اشوف ايه الجديد معاه </t>
  </si>
  <si>
    <t>Mohamed Arif</t>
  </si>
  <si>
    <t xml:space="preserve">فيه كوتيشن مسعرينها معانا رقمها : q969.16.lcu و بيقولي انهم بعتوا ال submittal خلاص و مستنيين الفيدباك خلال اسبوعين </t>
  </si>
  <si>
    <t>كلمه كمان اسبوعين اعرف ايه الدنيا في المشروع ده</t>
  </si>
  <si>
    <t>Zubair</t>
  </si>
  <si>
    <t xml:space="preserve">قالي انه مفيش مشاريع في الوقت الحالي و بخصوص ال BMS واحد من صحابة في الشغل هو الي ماشي في الحتة دي </t>
  </si>
  <si>
    <t xml:space="preserve">عاوز منه رقم صاحبه بتاع ال BMS و عاوز اتابع معاه كل اسبوع </t>
  </si>
  <si>
    <t>MACC</t>
  </si>
  <si>
    <t>omer.elhanoun@macc-fm.com</t>
  </si>
  <si>
    <t>بيبعتلي في الاول مقطوعيات بس و دلوقتي معاه مشاريع و بتابع معاه كل اسبوع لو فيه حاجة جديدة</t>
  </si>
  <si>
    <t>كلمه يوم السبت و حاول تحدد معاه ميعاد تزوره فيه</t>
  </si>
  <si>
    <t xml:space="preserve">بحدد معاه ميتنج عشان اروح ازوره في المكتب و اعرف المشاريع ال in hand معاهم بخصوص ال BMS في شركة IHCC </t>
  </si>
  <si>
    <t>Diamond House Developments</t>
  </si>
  <si>
    <t>Site Supervisor</t>
  </si>
  <si>
    <t xml:space="preserve">ده مشرف موقع Diamond House و دول اكثر من فيلا ممكن ناخد التيار الخفيف منهم هكلمه و ارجع احط الفيدباك </t>
  </si>
  <si>
    <t xml:space="preserve">شركة ابو الجدايل للمقاولات و الصيانة المحدودة </t>
  </si>
  <si>
    <t xml:space="preserve">محتاج اروح للشركة دي جدا لانها عندها كمية مشاريع مش طبيعية في جدة </t>
  </si>
  <si>
    <t xml:space="preserve">اوصل لحد من الشركة </t>
  </si>
  <si>
    <t>امانة جدة</t>
  </si>
  <si>
    <t xml:space="preserve">جهاز مدينة جدة و ده معاه كمية مشاريع كبيرة جدا جدا في ابحر الشمالية بس تخيل باقي مناطق جدة لازم اوصل لحد من هناك </t>
  </si>
  <si>
    <t xml:space="preserve">مباني جدة للتطوير العقاري </t>
  </si>
  <si>
    <t>المشروع لسة ارض فاضية بس محتاج اعرف حد من الشركة عشان اقدر اوصل لحاجة</t>
  </si>
  <si>
    <t>برج جدة</t>
  </si>
  <si>
    <t xml:space="preserve">حاولت اخش معرفتش و قالولي هتروح منطقة الحمدانية هتلاقي هناك ادارة برج جده شوف انت تعرف تخش هناك ازاي و تجيب شغلك كله من هناك </t>
  </si>
  <si>
    <t>Ayan Real Estate</t>
  </si>
  <si>
    <t>ده كان من ال Hunting عندهم مشروع فلل فقط و محتاج اوصل لحد من هناك صاحب الشركة اسمه سعد الغامدي</t>
  </si>
  <si>
    <t>GRC</t>
  </si>
  <si>
    <t xml:space="preserve">ده معاه المشاريع الي جابها مهندس فراس و المشاريع دي مهمة اوي و الراجل مستعجل عليها جدا جدا </t>
  </si>
  <si>
    <t xml:space="preserve">محتاج اتابع المشاريع الي اترفعت هتخلص امتى ضروري جدا بحد اقصى يوم السسبت </t>
  </si>
  <si>
    <t xml:space="preserve">معاه مشروع فندق Renovation و محتاج Low Current Systems و كمان GRMS وصلت معاه لاني بجيب سعر من Legrand , Schneider , EAE , Incomm و مستعجل على المشروع جدا اخر يوم هو يوم الاحد و ده هو عاوز كوميشن لنفسه عشان المشروع ده بره شركة Creet </t>
  </si>
  <si>
    <t>تابع الكوتيشن</t>
  </si>
  <si>
    <t>Mohamed Ramadan</t>
  </si>
  <si>
    <t>ACUD</t>
  </si>
  <si>
    <t xml:space="preserve">ده معاه الباكدج بتاعت مشروع موطن مسار و بعتله ال Pre Qualification بتاعتنا و قالي اول ما هبص عليها هبعتلك الباكدج عشان تسعرها على طول </t>
  </si>
  <si>
    <t>Raneem Schneider</t>
  </si>
  <si>
    <t>Schneider GRMS</t>
  </si>
  <si>
    <t xml:space="preserve">بتابع معاها مشروع Rosemond عشان تسعرلي الداتات بتاعتي </t>
  </si>
  <si>
    <t>Waiting for my reply on the quotation</t>
  </si>
  <si>
    <t xml:space="preserve">Lo2ai </t>
  </si>
  <si>
    <t>SATCO</t>
  </si>
  <si>
    <t xml:space="preserve">محتاج سعر الكويتشن عشان الاصلاحات الي هتحصل عندهم في الموقع </t>
  </si>
  <si>
    <t>Send him the quotation Urgently</t>
  </si>
  <si>
    <t xml:space="preserve">Emad Khater </t>
  </si>
  <si>
    <t>شركة هاني رضوان</t>
  </si>
  <si>
    <t>ده كان Site hunting بس للاسف خلصوا المشروع بالكامل و خدت رقمه اكلمه عشان لو فيه مشاريع جديدة جاية</t>
  </si>
  <si>
    <t xml:space="preserve">Follow Up </t>
  </si>
  <si>
    <t>Hani Roberto</t>
  </si>
  <si>
    <t>First Fix</t>
  </si>
  <si>
    <t>ده مشروع مستشفى العرب و للاسف ملحقناش نخشه خلصوا المشروع من بره على طول مع شركات sebca - Top 10 - MTTS</t>
  </si>
  <si>
    <t>Mohamed Hazem</t>
  </si>
  <si>
    <t>Technical Office Manager GRMS</t>
  </si>
  <si>
    <t xml:space="preserve">بعتلي المشروع اخيرا و مستني منه الديسكاونت كمان لما ناخد المشروع منهم </t>
  </si>
  <si>
    <t>مستني الديسكاونت لما اقعد مع العميل نفسه هناك</t>
  </si>
  <si>
    <t>KFOCO</t>
  </si>
  <si>
    <t>ak@kfoco.com</t>
  </si>
  <si>
    <t>Hamdy Abdelrasoul</t>
  </si>
  <si>
    <t>Dar Al-Kahrabaa</t>
  </si>
  <si>
    <t>hamdyabdelrasoul@daralkahrbaa.com</t>
  </si>
  <si>
    <t>CEO</t>
  </si>
  <si>
    <t xml:space="preserve">طلبت منه يجي يعمل معاينه للمشروع بتاع Rosemond و جه بالفعل و عمل المعاينه و لسة مبعتلناش السعر بتاعه عاوز مني BOQ بكامل الشغل المطلوب عشان يعرف يسعر المشروع - و بعتله مشروع تاني اسمه KEC Cluster 2 المشروع ده السكوب بتاعه اضاءة و ارضي بس بعتهوله و مستني منه ابديت </t>
  </si>
  <si>
    <t>Abdelrahman United</t>
  </si>
  <si>
    <t>United Hospital</t>
  </si>
  <si>
    <t>Maintenance Engineer</t>
  </si>
  <si>
    <t>قالي كلمني بعد العيد هيحتاج سيستم المستشفى الي انا عامله ده</t>
  </si>
  <si>
    <t>Mohamed Babik</t>
  </si>
  <si>
    <t>مركز مكة الطبي</t>
  </si>
  <si>
    <t>قالي انه محتاج حد يشتغل Honeywell في المستشفى و قالي ان فيه غرف جديدة و غرف بتتجدد و وريته السيستم بتاعنا و قالي انه فعلا محتاج حاجة زي كده بس قالي بعد العيد نتكلم</t>
  </si>
  <si>
    <t>Mohamed Assef</t>
  </si>
  <si>
    <t>مستشفى السعودي الالماني</t>
  </si>
  <si>
    <t>ده مدير الصيانة في السعودي الالماني قالي انه محتاج السيستم ده برضه جدا و عاوزين نشتغل معاهم في الاكسيس كده و نظبطها سوا و قالي ان فيه واحد اسمه حاتم في فرع السعودي الالماني الجديد في جده و الراجل ده مهم جدا  اني اكلمه عشان نخش معاهم في الباكدج مستخدمين BMS johnson , Access Honeywell , PAVA EATON</t>
  </si>
  <si>
    <t>Amr MK</t>
  </si>
  <si>
    <t>MK Honeywell</t>
  </si>
  <si>
    <t>ده سيلز ل MK by Honeywell</t>
  </si>
  <si>
    <t>Ibrahim Aboradi</t>
  </si>
  <si>
    <t>GTS</t>
  </si>
  <si>
    <t xml:space="preserve">محتاج خصم على مشروع مع عبدالرحمن و بيكلمني تاني كتير عشان الخصم ده ضروري بالنسبة ليه </t>
  </si>
  <si>
    <t>Vision Contracting</t>
  </si>
  <si>
    <t>m.hassan@vision-cc.com</t>
  </si>
  <si>
    <t>Hashem Creet</t>
  </si>
  <si>
    <t>Mohamed Desouky</t>
  </si>
  <si>
    <t>Al Mardoof Contracting</t>
  </si>
  <si>
    <t>mohammed.desouky@almardoof.com</t>
  </si>
  <si>
    <t xml:space="preserve">Samy Elsaid </t>
  </si>
  <si>
    <t>AHC - شركة انشاءات الافاق المتقدمة</t>
  </si>
  <si>
    <t>seradwan@ahc-contracting.com</t>
  </si>
  <si>
    <t>ده مدير مشروع مستشفى سليمان فقيه بمكة و لسة المشروع بدري عليه مفيش رسومات ولا اي حاجة لسة في مرحلة الحفر و مش معاهم مشاريع تانيه كل الباقي خلاص بيتسلم</t>
  </si>
  <si>
    <t>Mahmoud ADEX</t>
  </si>
  <si>
    <t>ADEX</t>
  </si>
  <si>
    <t xml:space="preserve">روحتله السايت و بعتله البروفايل و مستني منه ال RFQ </t>
  </si>
  <si>
    <t xml:space="preserve">HAZEM KHALIL
</t>
  </si>
  <si>
    <t xml:space="preserve">+966 54 5660067
</t>
  </si>
  <si>
    <t xml:space="preserve">ARABIAN CONSTRUCTION COMPANY - ACC
</t>
  </si>
  <si>
    <t>AYMAN ISMAIL</t>
  </si>
  <si>
    <t>+966 55 5010745</t>
  </si>
  <si>
    <t>SAUDI DEVELOPMENT COMPANY</t>
  </si>
  <si>
    <t>ASHRAF AMEIRAH</t>
  </si>
  <si>
    <t>+966 50 6660287</t>
  </si>
  <si>
    <t>EL SEIF ENGINEERING</t>
  </si>
  <si>
    <t>OBAID AL BAYED</t>
  </si>
  <si>
    <t>+966 53 1327771</t>
  </si>
  <si>
    <t>NESMA &amp; PARTNERS</t>
  </si>
  <si>
    <t xml:space="preserve">Yahia Jamal </t>
  </si>
  <si>
    <t>+966 50 4656703</t>
  </si>
  <si>
    <t>AL BAWANI</t>
  </si>
  <si>
    <t>فرسان نماء العقارية</t>
  </si>
  <si>
    <t>Magdy Radwan</t>
  </si>
  <si>
    <t>Al Ayuni Investment</t>
  </si>
  <si>
    <t xml:space="preserve">Sent Company Profile </t>
  </si>
  <si>
    <t>Faizan</t>
  </si>
  <si>
    <t xml:space="preserve">Shareef </t>
  </si>
  <si>
    <t>LEVELS</t>
  </si>
  <si>
    <t>مفيش مشاريع حاليا و هتابع معاه كل فترة</t>
  </si>
  <si>
    <t>MAG المجال العربي</t>
  </si>
  <si>
    <t>a.alessa@mag-sa.com</t>
  </si>
  <si>
    <t xml:space="preserve">خدت منه مشروع الهيئة العامة و شغالين عليه حاليا </t>
  </si>
  <si>
    <t>اول ما الكوتيشن تخلص هبعتهاله</t>
  </si>
  <si>
    <t>Mohamed Tharwat</t>
  </si>
  <si>
    <t>ACC</t>
  </si>
  <si>
    <t>دخلت عليه على مشروع هيلتون ذاخر بس طلعنا خسرنا المشروع ده وقالي نتعاون في مشروع تاني بعدها</t>
  </si>
  <si>
    <t>هبتعله البروفايل</t>
  </si>
  <si>
    <t>Ahmed Hegazy</t>
  </si>
  <si>
    <t xml:space="preserve">شركة جوار المشاعر </t>
  </si>
  <si>
    <t>Salim</t>
  </si>
  <si>
    <t>Arif Group</t>
  </si>
  <si>
    <t>ده الي ماسك مشروع Voco جده الي معانا و بتواصل معاه عشان يبعتلنا باقي الرسومات</t>
  </si>
  <si>
    <t>بنخلص رسومات ال GRMS Layout و هنبعتهاله</t>
  </si>
  <si>
    <t xml:space="preserve">Moaz </t>
  </si>
  <si>
    <t xml:space="preserve">كلمته يبعتلي رقم مدير المشتريات في الشركة </t>
  </si>
  <si>
    <t>Mohamed Daghreri</t>
  </si>
  <si>
    <t>Vision Construction</t>
  </si>
  <si>
    <t xml:space="preserve">كلمته عشان مازن مش بيرد من هناك و قولت اخد منه رقم حد تاني احتياطي </t>
  </si>
  <si>
    <t>Ahmed Hamdy</t>
  </si>
  <si>
    <t>الفؤاد للمقاولات</t>
  </si>
  <si>
    <t>قالي ابعتلي البروفايل و هيبعتها للمكتب  بتاعهم عشان يشوف لو لسة في باكدج مراحتش لحد نقدر نسعرها</t>
  </si>
  <si>
    <t>Hamdy</t>
  </si>
  <si>
    <t>الرواد جدة</t>
  </si>
  <si>
    <t xml:space="preserve">دخلنا المشروع متأخر بس هبعتلك البرفايل عشان لو فيه اي شغل جديد ان شاء الله </t>
  </si>
  <si>
    <t>Mahmoud Tayser</t>
  </si>
  <si>
    <t>Temco</t>
  </si>
  <si>
    <t>لقيت مهندس المشتريات في السايت و قالي انهم تقريبا مخلصين 90% من انظمة التيار الخفيف و بعتله البروفايل مستني رده هل نقدر نخش في الوقت ده ولا خلاص</t>
  </si>
  <si>
    <t>Nuzum for Trading</t>
  </si>
  <si>
    <t xml:space="preserve">عاوز items من Televes </t>
  </si>
  <si>
    <t>تيسر للتجارة</t>
  </si>
  <si>
    <t xml:space="preserve">ده تبع مشورع العزيزية بتاع مشروع تيسر و بعتلي ككوتيشن و عاوزني اعمل   A2P كوتيشن </t>
  </si>
  <si>
    <t>Hamed</t>
  </si>
  <si>
    <t>نخبة سعد ( ابراج مكة العزيزة )</t>
  </si>
  <si>
    <t>Mr. Mohamed Arif</t>
  </si>
  <si>
    <t>شركة الضيافة للتشغيل الفندقي</t>
  </si>
  <si>
    <t>سيبتله الكارت عشان لما يجي المهندس ياخده</t>
  </si>
  <si>
    <t>Ubaid Mohamed</t>
  </si>
  <si>
    <t>Abdul latif jameel</t>
  </si>
  <si>
    <t xml:space="preserve">قالي انه فيه حد تاني هيجي الاسبوع ده او الي بعده بس لسه مجاش و مستني اكلمه تاني </t>
  </si>
  <si>
    <t>Mohamed Bani</t>
  </si>
  <si>
    <t>Marriot</t>
  </si>
  <si>
    <t xml:space="preserve">كلمته و كان عارف مهندس عماد و قالي هبعتلك مشروع لينا تسعره GRMS </t>
  </si>
  <si>
    <t>سعود الصاعدي</t>
  </si>
  <si>
    <t xml:space="preserve">بعتلنا كوتيشن A2A و الشباب لسة شغالين عليها </t>
  </si>
  <si>
    <t>Ahmed Abdelhafez</t>
  </si>
  <si>
    <t>BTAM</t>
  </si>
  <si>
    <t>بعتلنا مشروع Nupco في الرياض و محتاجين التسعيرة ضروري</t>
  </si>
  <si>
    <t>Salem Bn Lasud</t>
  </si>
  <si>
    <t>مستشفى مكة بارك</t>
  </si>
  <si>
    <t xml:space="preserve">بيفتحوا مبنى غسيل كلوي جديد و محتاجين كل الانظمة و عاوز CP عشان يشوف سابقة اعمالنا هتابع معاه الاسبوع الجي </t>
  </si>
  <si>
    <t>Abdo</t>
  </si>
  <si>
    <t>فندق ملتزم النسيم</t>
  </si>
  <si>
    <t>عاوزين شركة فرش للفنادق و بعدها هتواصل معاه عشان نعمل احنا الانظمة</t>
  </si>
  <si>
    <t>Yazed</t>
  </si>
  <si>
    <t xml:space="preserve">ده مدير موقع العطير في جدة ابحر المشروع ضخم جدا و عبارة عن مباني سكنية بمستوى فاخر خدت رقمه من الموقع بس لسة مردش عليا </t>
  </si>
  <si>
    <t>Mohamed Mansy</t>
  </si>
  <si>
    <t>بناء الوصال</t>
  </si>
  <si>
    <t>قالي انهم اصلا شركة بتركب و بتورد الي احنا شغالين فيه بس خد رقمي و قالي ممكن يكون فيه شغل تاني ميكونش عندنا و ساعتها هنحتاجك</t>
  </si>
  <si>
    <t>Ahmed مدارس عالم الصغار</t>
  </si>
  <si>
    <t>مدارس عالم الصغار</t>
  </si>
  <si>
    <t>بعتلي الكوتيشن و قالي عاوزين نعمل زيها بالظبط و اداني الاسعار كمان و حاليا بعتها مستني التسعير ده واخد محل في مبنى Sportplex</t>
  </si>
  <si>
    <t>Ahmed Elreedy</t>
  </si>
  <si>
    <t>Pro Builders</t>
  </si>
  <si>
    <t>بعتلي مشروع سيدرا روشن في الرياض بس ناقص ملف و مستنيين لما يكمله و نبعته</t>
  </si>
  <si>
    <t xml:space="preserve">Mohamed Adel </t>
  </si>
  <si>
    <t>مدينة الملك عبدالله الطبية</t>
  </si>
  <si>
    <t>Co-ordinator</t>
  </si>
  <si>
    <t xml:space="preserve">قالي ان الدخول لازم بتسجيل الاول و الزيارة عشان اعرف اخش جوه المستشفى و اعرض خدماتي بفلوس </t>
  </si>
  <si>
    <t>Magdy</t>
  </si>
  <si>
    <t>الابنية للاستيراد و التصدير</t>
  </si>
  <si>
    <t>ده استشاري مهندس عبدالرحمن بعتهولي اكلمه بس معندهوش حاجة في الوقت الحالي و قالي ابعتلي التفاصيل و لو فيه حاجة هكلمك</t>
  </si>
  <si>
    <t>صفوة المشاعر</t>
  </si>
  <si>
    <t>فندق صفوة المشعار</t>
  </si>
  <si>
    <t>خدت رقم المشرف و سيبتله الكارت بتاعي و قالي لو فيه حاجة في الصيانه اكيد هكلمك</t>
  </si>
  <si>
    <t>Omar Al-Salami</t>
  </si>
  <si>
    <t>Buna</t>
  </si>
  <si>
    <t xml:space="preserve">قالي ان شركة EMCO Tech هي الي خدت المشروع ده بالكامل و ان دي Sister Company لشركة Buna </t>
  </si>
  <si>
    <t>EMCO TECH Buna Sister Company</t>
  </si>
  <si>
    <t xml:space="preserve">مهندس عمر السلامي من بنى اداني رقمه و كلمه عشان يبعتلي المشاريع الي معاه inhand حاليا وبعتلنا مشروع MIRAF ONE الي في خبر </t>
  </si>
  <si>
    <t>Yasser Salah</t>
  </si>
  <si>
    <t xml:space="preserve">Levels </t>
  </si>
  <si>
    <t>قالي ان المشروع خلصان مع شركة اسمه SIKA و اننا ممكن نكلم مهندس ياسر بتاع الكهرباء عشان باقي المشاريع الي معاه</t>
  </si>
  <si>
    <t>Yasser</t>
  </si>
  <si>
    <t>Levels</t>
  </si>
  <si>
    <t>بعتله بس لسة مردش عليا و بحاول اوصله مش بيرد</t>
  </si>
  <si>
    <t>Awab</t>
  </si>
  <si>
    <t>نخبة سعد</t>
  </si>
  <si>
    <t>ده تبع مشروع ابراج ممكة كلمته و قالي ان فيه مقايسة تقديرية هيبعتهالي و نسعرها بس قالي اهم حاجة السعر مينفعش يكون عالي لان الناس هناك حارقين اسعار جامد</t>
  </si>
  <si>
    <t>رؤية معمارية</t>
  </si>
  <si>
    <t>دول ماسكين مشروع انشاء مستشفى على طريق فلسطين في جده المشروع شغالين فيه بس من بعد العصر الصبح مش شغالين هناك رجعتلهم تاني و خدت ارقام المهندسين بس ولا واحد منهم رد لسة</t>
  </si>
  <si>
    <t>احمد ابو المعاطي</t>
  </si>
  <si>
    <t>المتحدة للمقاولات</t>
  </si>
  <si>
    <t>محمود</t>
  </si>
  <si>
    <t>Dr. Wael</t>
  </si>
  <si>
    <t>مستشفى الاطباء المتحدون</t>
  </si>
  <si>
    <t>Procurment Manager</t>
  </si>
  <si>
    <t xml:space="preserve">قالي انهم لسة مخلصن المبنى الجديد بتاعهم ف مش محتاجين حاجة دلوقتي غير بس 2 PC محتاجين نجيب سعرهم بس مش اكتر </t>
  </si>
  <si>
    <t>Ahmed Hassan</t>
  </si>
  <si>
    <t>مؤسسة الحمدان</t>
  </si>
  <si>
    <t>معاه مشروع السكني الفندقي الي في العزيزية بس المشروع متاخد من شركة تبعهم و بيحاول يجيب اسعار تانيه في المشاريع الجاية ف هتابع معاه</t>
  </si>
  <si>
    <t>Ahmed Shehata</t>
  </si>
  <si>
    <t>مكتب دكتور حامد الهرساني</t>
  </si>
  <si>
    <t>Planning Manager</t>
  </si>
  <si>
    <t>معاه مشاريع داخل مسار و مهندس احمد حسن قالي كلمه اقوله اني من طرفه و اظبط معاه الدنيا عشان نخش في باقي المشاريع</t>
  </si>
  <si>
    <t>Ahmed Galal</t>
  </si>
  <si>
    <t>هامة الكيان للتطوير العقاري</t>
  </si>
  <si>
    <t>Technical Engineer</t>
  </si>
  <si>
    <t xml:space="preserve">عاوز عقد صيانة للمكتب بتاع الشركة بالكامل </t>
  </si>
  <si>
    <t>Moamen Hassan</t>
  </si>
  <si>
    <t xml:space="preserve">مازن السويح للتطوير العقاري </t>
  </si>
  <si>
    <t xml:space="preserve">المشروع في المرحلة ال MEP و كلمت المقاول بتاعه الي هو هو المطور برضه و قالي في الوقت الحالي مفيش اي طلبات مستننين اول ما يجيلهم الطلبات هيبعتولنا على طول </t>
  </si>
  <si>
    <t>Ayman Abd Elaziz</t>
  </si>
  <si>
    <t>Tatweej Contracting Company</t>
  </si>
  <si>
    <t xml:space="preserve">دي شركة مقاولات شغالين مع شركة اسمها الماجدية AlMajidiah مصري كده و قالي نظبط المشاريع مع بعض الفترة الجاية دي </t>
  </si>
  <si>
    <t>Samir</t>
  </si>
  <si>
    <t>التنمية</t>
  </si>
  <si>
    <t>معاهم باكدج صغيرة في مشروع محطة الوقود في جدة شارع ساري</t>
  </si>
  <si>
    <t xml:space="preserve">مؤسسة المباني الراسيات للمقاولات العامة </t>
  </si>
  <si>
    <t>مؤسسة المباني الراسيات للمقاولات العامة</t>
  </si>
  <si>
    <t>معاها مشروع انشاء الخليل بلازا في الكعكية بس لسة انشاءات مفيش مقاول كهرباءء هناك</t>
  </si>
  <si>
    <t>BAK Contracting</t>
  </si>
  <si>
    <t>مكانش موجود في السايت خدت رقمه من العمال و كلمته قالي انهم مش محتاجين حاجة بحاول اوصل لحد تاني في المشروع</t>
  </si>
  <si>
    <t>Al-Waref Contracting Comapny</t>
  </si>
  <si>
    <t xml:space="preserve">صاحب بشمهندس عبالله معاه مشروع رابطة العالم الاسلامي فيه تجديد كبير بيحصل هناك و محتاج الكوتيشن في اسرع وقت ممكن </t>
  </si>
  <si>
    <t>Albadayeel البدائل</t>
  </si>
  <si>
    <t>Senior Electrical Engineer</t>
  </si>
  <si>
    <t>مشروع مدارس الموسى و مستشفى الموسى كمان معاهم</t>
  </si>
  <si>
    <t>Mohamed Hafez</t>
  </si>
  <si>
    <t>Emco Tech Buna Sister Comapny</t>
  </si>
  <si>
    <t>Procurement and Tender Engineer</t>
  </si>
  <si>
    <t xml:space="preserve">ده الي انا هتابع معاه مكان عثمان عشان عثمان عنده مشاكل صحية </t>
  </si>
  <si>
    <t>Serdar</t>
  </si>
  <si>
    <t>MAPA Contracting</t>
  </si>
  <si>
    <t>serdarcan.ertem@mapa.group</t>
  </si>
  <si>
    <t>Site Engineer</t>
  </si>
  <si>
    <t xml:space="preserve">قطعوا كابل فايبر  للحرس الوطني و محتاجين يصلحوه بس المشكله في التصاريح </t>
  </si>
  <si>
    <t>Magdy Ali</t>
  </si>
  <si>
    <t>المهندس خالد عمر بن مليح</t>
  </si>
  <si>
    <t>Consultant</t>
  </si>
  <si>
    <t xml:space="preserve">مصنع سرايا السحاب للصناعة --- المالك مجابش مقاول كهرباء لحد دلوقتي عشان هيبيعه زي ما هو المشروع كبير و عاوز يبيعه لحد يكمله و الاستشاري ده اتعرفت عليه و قالي ابعتلي تفاصيل الشركة و انا كده كده هبقى المشرف على التنفيذ هقدر كمان ادخلك معايا ان شاء الله </t>
  </si>
  <si>
    <t>Mohamed Ahmed Youssef</t>
  </si>
  <si>
    <t>WATCOM - شركة الحزام للاعمال الكهروميكانيكية</t>
  </si>
  <si>
    <t>Head Elec. Dep</t>
  </si>
  <si>
    <t>ده مدير قسم الكهرباء في مشروعين مشروع فندق البروج الماسية و فندق المدينة الي معايا ال RFQ بتاعته الراجل فهمنه اني تبع مهندس احمد فوزي الي هو ابن صاحب الشركة و بعتلي المشروع بتاع المدينة نسعره</t>
  </si>
  <si>
    <t xml:space="preserve">Hemdan </t>
  </si>
  <si>
    <t>Owner Makkah Park</t>
  </si>
  <si>
    <t>Owner</t>
  </si>
  <si>
    <t>جيبت رقمه من المورد بتاع الحديد في المشروع و عرفت منه ان لسة بالفعل مفيش مقاول كهرباء في المشروع قالي تابع معايا و انا برضه هبلغك اول ما يكون فيه جديد</t>
  </si>
  <si>
    <t>Yasser Abdullah</t>
  </si>
  <si>
    <t>METHAQ</t>
  </si>
  <si>
    <t xml:space="preserve">مدير قسم الاعمال المتخصصة </t>
  </si>
  <si>
    <t>الراجل هو ممثل المالك في المشروع و كذلك المقاول العام و معاه كل الانظمة شغالي عليها و لسة مخلصهاش قالي ابعتلي البروفايل بتاعك و انا هبص على الشركة بتاعتكم و هقولك اقدر اساعدك ازاي و بالفعل الراجل بص على الحاجة و قالي هنبدأ تسعير و مقارنات بس الباكدج هتكون جاهزة على اخر شهر 9</t>
  </si>
  <si>
    <t>Essam Elhawary</t>
  </si>
  <si>
    <t>Hoist Group</t>
  </si>
  <si>
    <t>Technical Pre Sales</t>
  </si>
  <si>
    <t xml:space="preserve">شغال معايا على مشروع التييسر في تسعير الداتا و الراجل ده فاهم اوي و اشتغل مع هيلتون اكثر من مره </t>
  </si>
  <si>
    <t>Khalid Fahd</t>
  </si>
  <si>
    <t>اكديتال</t>
  </si>
  <si>
    <t>Security Engineer FA &amp; PAVA &amp; CCTV</t>
  </si>
  <si>
    <t xml:space="preserve">Youssef Ali </t>
  </si>
  <si>
    <t>Catrion</t>
  </si>
  <si>
    <t>IT Engineer</t>
  </si>
  <si>
    <t xml:space="preserve">عاوز تعديل على المشروع و عاوز زيادة في ال ACS بعيدا عن Creet و عاوز زيارة و نسعرلهم CLA بخصوص سيستم ال CCTV و ال ACS و عاوز يزود التخزين بتاع الكاميرات من شهر الى 3 اشهر و عاوز يضيف من 4 الى 5 ابواب تبع نظام ال ACS </t>
  </si>
  <si>
    <t>Waleed Ragab</t>
  </si>
  <si>
    <t xml:space="preserve">المحاور المميزة للمقاولات </t>
  </si>
  <si>
    <t>Civil Engineer</t>
  </si>
  <si>
    <t xml:space="preserve">معاهم مشروع مبنى اداري تجاري في الفيصلية جدة و المشروع حاصل عليه Hold في الوقت الحالي و بحاول اظبط معاه ميتنج اعرف معاهم مشاريع ايه تاني فالعموم </t>
  </si>
  <si>
    <t>Alaa Kenany</t>
  </si>
  <si>
    <t>قالي المشروع شغال اه بس فيه شركة هي الي ماسكة ال MEP اسمها اماكن و هيحاول يوصلني بيهم انهاردة يوم 2/9/2026</t>
  </si>
  <si>
    <t>Hazem</t>
  </si>
  <si>
    <t>شركة عبدالله المرزوقي</t>
  </si>
  <si>
    <t>معاه مشاريع مباني سكني تجاري من مفاخر و المشروع الي روحته في الوقت الحالي لسة في مرحلة التأسيسات و هيكون فيه سمارت بس الباكدج لسة مطلعتش هو لسة في مرحلة التندر مع شركات المقاولات العامة</t>
  </si>
  <si>
    <t>Mohamed Alnatour</t>
  </si>
  <si>
    <t>m.ismail@creet.net</t>
  </si>
  <si>
    <t>Procurement Section Head</t>
  </si>
  <si>
    <t xml:space="preserve">مدير مشتريات كرييت قعدت معاه عشان ارجع العلاقات بينا تاني و ناخد شغل منهم لانهم معاهم مشاريع كتير جدا </t>
  </si>
  <si>
    <t>Ahmed Bakr</t>
  </si>
  <si>
    <t xml:space="preserve">المشروع لسة بدري عليه و مطروح من الاوقاف خدت رقم مهندس ال MEP هناك قالي المشروع لسة الباكدج مطلعتش هتطلع خلال شهر او اتنين و تابع معايا و سألني كتير على ال GRMS و ال EMS و ان الاوقاف هتعمل الانظمة دي </t>
  </si>
  <si>
    <t>BAK United Arabia</t>
  </si>
  <si>
    <t xml:space="preserve">salmanshah@bakunited.sa
</t>
  </si>
  <si>
    <t xml:space="preserve">ألشركه دي مهمة جدا و معاهم مشاريع كتير جدا جدا </t>
  </si>
  <si>
    <t>Feras</t>
  </si>
  <si>
    <t xml:space="preserve">Tayser Hilton </t>
  </si>
  <si>
    <t>ممثل المالك و مدير مشروع</t>
  </si>
  <si>
    <t>Mohamed Tohamy</t>
  </si>
  <si>
    <t>Belal</t>
  </si>
  <si>
    <t>Shatri Development</t>
  </si>
  <si>
    <t>مدير المشروع بتاع برج الشاطري</t>
  </si>
  <si>
    <t>Taha Salah</t>
  </si>
  <si>
    <t xml:space="preserve">Sky Build </t>
  </si>
  <si>
    <t>معاه مشروع في شاريع عبدالله الخياط جنب العزيزية فندق بقال 10 سنين و شغالين فيه حاليا بس فيه تغيير في الديزاين بيحصل والباكدج الجديدة لسة مطلعتش و هتابع معاه كل اسبوعين كده</t>
  </si>
  <si>
    <t>Ahmed Hafzy Mobco</t>
  </si>
  <si>
    <t>MOBCO</t>
  </si>
  <si>
    <t>Mahmoud Saad</t>
  </si>
  <si>
    <t>Sama for Contracting</t>
  </si>
  <si>
    <t xml:space="preserve">كنت في اونلاين ميتنج مع احمد صادق بكلمه على حاجات باليمو و اداني رقم مهنس محمود قالي انه معاه ال Field Devices بتاعت المشروع فقط و انهم واخدين ال HVAC Reinnovation بس و انهم اصلا بيسعروا باليمو فقط مش هانويل و قالي اني محتاج السعر ضروري و انا بعتها تتسعر </t>
  </si>
  <si>
    <t>Date</t>
  </si>
  <si>
    <t>Contact</t>
  </si>
  <si>
    <t>Period</t>
  </si>
  <si>
    <t>Type</t>
  </si>
  <si>
    <t>Visit Type</t>
  </si>
  <si>
    <t>Project Status</t>
  </si>
  <si>
    <t>Action</t>
  </si>
  <si>
    <t>Follow Up Action</t>
  </si>
  <si>
    <t>9:00-10:00AM</t>
  </si>
  <si>
    <t>Call</t>
  </si>
  <si>
    <t>Follow up</t>
  </si>
  <si>
    <t>Confirm Online Meeting at 1PM</t>
  </si>
  <si>
    <t>Team Meeting</t>
  </si>
  <si>
    <t>Get feedback on quotation</t>
  </si>
  <si>
    <t>Update project status</t>
  </si>
  <si>
    <t>IMC Hospital</t>
  </si>
  <si>
    <t>Send Pre-Qualification as requested</t>
  </si>
  <si>
    <t>Schedule meeting</t>
  </si>
  <si>
    <t>10:00-11:00AM</t>
  </si>
  <si>
    <t>Confirm F2F meeting today</t>
  </si>
  <si>
    <t>F2F Meeting</t>
  </si>
  <si>
    <t>Code 3 Project</t>
  </si>
  <si>
    <t>Get follow sheet via email</t>
  </si>
  <si>
    <t>Update status</t>
  </si>
  <si>
    <t>IKK Group</t>
  </si>
  <si>
    <t>Ask about new projects</t>
  </si>
  <si>
    <t>IHCC - Western Tower</t>
  </si>
  <si>
    <t>Mohamed Youssef</t>
  </si>
  <si>
    <t>11:00-12:00PM</t>
  </si>
  <si>
    <t>Get procurement contact</t>
  </si>
  <si>
    <t>Contact procurement</t>
  </si>
  <si>
    <t>IMC Project</t>
  </si>
  <si>
    <t>Get IMC Phase 2 details + Zedca info</t>
  </si>
  <si>
    <t>Update pipeline</t>
  </si>
  <si>
    <t>Check if client responded</t>
  </si>
  <si>
    <t>Push for response</t>
  </si>
  <si>
    <t>12:00-1:00PM</t>
  </si>
  <si>
    <t>Visit</t>
  </si>
  <si>
    <t>Meet &amp; introduce company</t>
  </si>
  <si>
    <t>Send projects</t>
  </si>
  <si>
    <t>1:00-2:00PM</t>
  </si>
  <si>
    <t>Online Meeting</t>
  </si>
  <si>
    <t>Online meeting with engineering team</t>
  </si>
  <si>
    <t>Send solution proposal</t>
  </si>
  <si>
    <t>2:00-3:00PM</t>
  </si>
  <si>
    <t>First meeting - introduce company</t>
  </si>
  <si>
    <t>Send quotation if needed</t>
  </si>
  <si>
    <t>ALsaad Contracting</t>
  </si>
  <si>
    <t>3:00-4:00PM</t>
  </si>
  <si>
    <t>Get new project details</t>
  </si>
  <si>
    <t>Mohamed Abudagga</t>
  </si>
  <si>
    <t>Follow up on payment + Seven SBG project</t>
  </si>
  <si>
    <t>Get payment update</t>
  </si>
  <si>
    <t>Daily Summary</t>
  </si>
  <si>
    <t>4:00-5:00PM</t>
  </si>
  <si>
    <t>Office Stuff</t>
  </si>
  <si>
    <t>Office</t>
  </si>
  <si>
    <t>Update Master Report + prepare tomorrow</t>
  </si>
  <si>
    <t>Schedule F2F meeting this week</t>
  </si>
  <si>
    <t>Book visit</t>
  </si>
  <si>
    <t>Ask about new projects as planned Monday</t>
  </si>
  <si>
    <t>Get project details</t>
  </si>
  <si>
    <t>Follow up on Pre-Qualification sent</t>
  </si>
  <si>
    <t>Check new pricing status</t>
  </si>
  <si>
    <t>Get final price</t>
  </si>
  <si>
    <t>Follow up on yesterday meeting</t>
  </si>
  <si>
    <t>Send technical proposal</t>
  </si>
  <si>
    <t>MHM - KIX</t>
  </si>
  <si>
    <t>Get final decision on project</t>
  </si>
  <si>
    <t>Close or update status</t>
  </si>
  <si>
    <t>Mazen Abdelghany</t>
  </si>
  <si>
    <t>Check pricing status with Eng. Mayar</t>
  </si>
  <si>
    <t>Get quotation</t>
  </si>
  <si>
    <t>Rafa Gulf - CGC</t>
  </si>
  <si>
    <t>Check CGC project update</t>
  </si>
  <si>
    <t>Get news</t>
  </si>
  <si>
    <t>Normal follow up - check for projects</t>
  </si>
  <si>
    <t>Regular check</t>
  </si>
  <si>
    <t>Visit hotel - discuss system requirements</t>
  </si>
  <si>
    <t>Send quotation</t>
  </si>
  <si>
    <t>SIAC KSA</t>
  </si>
  <si>
    <t>Follow up on new projects</t>
  </si>
  <si>
    <t>Monthly check</t>
  </si>
  <si>
    <t>Hotel Hunting - Makkah</t>
  </si>
  <si>
    <t>Hunting</t>
  </si>
  <si>
    <t>New Lead</t>
  </si>
  <si>
    <t>Visit hotels in Makkah area - Route 1</t>
  </si>
  <si>
    <t>Add new contacts</t>
  </si>
  <si>
    <t>فندق واحة الرفاع</t>
  </si>
  <si>
    <t>Follow up - he didn't answer before</t>
  </si>
  <si>
    <t>انجاز - King Salman Gate</t>
  </si>
  <si>
    <t>Follow up on King Salman Gate project</t>
  </si>
  <si>
    <t>Get requirements</t>
  </si>
  <si>
    <t>Follow up on Pre-Qualification sent Sunday</t>
  </si>
  <si>
    <t>Code 3 - Rafa Gulf</t>
  </si>
  <si>
    <t>Get follow sheet update</t>
  </si>
  <si>
    <t>Track progress</t>
  </si>
  <si>
    <t>Contact procurement team</t>
  </si>
  <si>
    <t>Get RFQ</t>
  </si>
  <si>
    <t>ORC - Madinah</t>
  </si>
  <si>
    <t>Amira Ibrahim</t>
  </si>
  <si>
    <t>Check project pricing status</t>
  </si>
  <si>
    <t>Get quotation status</t>
  </si>
  <si>
    <t>Al-Awalat - فندق الادلاء</t>
  </si>
  <si>
    <t>Mohamed Khalifah</t>
  </si>
  <si>
    <t>Check quotation status</t>
  </si>
  <si>
    <t>Get pricing</t>
  </si>
  <si>
    <t>Get project details from Monday call</t>
  </si>
  <si>
    <t>Add to pipeline</t>
  </si>
  <si>
    <t>Creet - New Factory</t>
  </si>
  <si>
    <t>Check payment + goods status</t>
  </si>
  <si>
    <t>Get update</t>
  </si>
  <si>
    <t>Al-Saif</t>
  </si>
  <si>
    <t>Follow up - he'll share procurement contact</t>
  </si>
  <si>
    <t>Get procurement number</t>
  </si>
  <si>
    <t>AlShamela Riyadh</t>
  </si>
  <si>
    <t>Afrina - ابراج موطن المسار</t>
  </si>
  <si>
    <t>Office visit - discuss 4 in-hand projects</t>
  </si>
  <si>
    <t>Get RFQs</t>
  </si>
  <si>
    <t>ALsaad - IMC</t>
  </si>
  <si>
    <t>Discuss IMC Phase 2 + Zedca project</t>
  </si>
  <si>
    <t>Get specifications</t>
  </si>
  <si>
    <t>Hotel Hunting - Jeddah</t>
  </si>
  <si>
    <t>Visit hotels - Route 2 Jabal Omar area</t>
  </si>
  <si>
    <t>Check for new project this week</t>
  </si>
  <si>
    <t>Exchange project leads</t>
  </si>
  <si>
    <t>Collaborate</t>
  </si>
  <si>
    <t>Push for client response - 1.6M project!</t>
  </si>
  <si>
    <t>Get final decision</t>
  </si>
  <si>
    <t>Creet - Factory</t>
  </si>
  <si>
    <t>Get final pricing - 442K project</t>
  </si>
  <si>
    <t>Close negotiation</t>
  </si>
  <si>
    <t>Send technical proposal as discussed</t>
  </si>
  <si>
    <t>Get approval</t>
  </si>
  <si>
    <t>Afrina</t>
  </si>
  <si>
    <t>Follow up after Tuesday meeting</t>
  </si>
  <si>
    <t>Get BOQs</t>
  </si>
  <si>
    <t>IMC - Vision</t>
  </si>
  <si>
    <t>Check with Eng. Mayar on pricing</t>
  </si>
  <si>
    <t>KIX Futsal</t>
  </si>
  <si>
    <t>Final decision on 337K project</t>
  </si>
  <si>
    <t>Close or extend</t>
  </si>
  <si>
    <t>Check payment 200K+ owed</t>
  </si>
  <si>
    <t>Get payment schedule</t>
  </si>
  <si>
    <t>Jash - صالة الفنون</t>
  </si>
  <si>
    <t>Coordinate with Hamdy for site visit</t>
  </si>
  <si>
    <t>Schedule Riyadh visit</t>
  </si>
  <si>
    <t>Get quotation status update</t>
  </si>
  <si>
    <t>Submit pricing</t>
  </si>
  <si>
    <t>واحة الرفاع Hotel</t>
  </si>
  <si>
    <t>Visit hotel - multiple renovation projects</t>
  </si>
  <si>
    <t>Second visit - finalize requirements</t>
  </si>
  <si>
    <t>Visit hotels - Al Aziziya area</t>
  </si>
  <si>
    <t>V-Yard Project</t>
  </si>
  <si>
    <t>Get MEP engineer contact for V-Yard</t>
  </si>
  <si>
    <t>Meet engineers</t>
  </si>
  <si>
    <t>Roshan Makkah</t>
  </si>
  <si>
    <t>Coordinate with Abdelrahman on Roshan</t>
  </si>
  <si>
    <t>Get contact</t>
  </si>
  <si>
    <t>IMC - Freyssinet</t>
  </si>
  <si>
    <t>Follow up after Sunday meeting</t>
  </si>
  <si>
    <t>Get project share</t>
  </si>
  <si>
    <t>Final check on 35M project pricing</t>
  </si>
  <si>
    <t>Submit quotation</t>
  </si>
  <si>
    <t>Final quotation submission</t>
  </si>
  <si>
    <t>Close tender</t>
  </si>
  <si>
    <t>Final push on 1.6M project</t>
  </si>
  <si>
    <t>Get PO</t>
  </si>
  <si>
    <t>Check response on Pre-Qualification</t>
  </si>
  <si>
    <t>Book meeting</t>
  </si>
  <si>
    <t>Follow up on hotel project</t>
  </si>
  <si>
    <t>انجاز - King Salman</t>
  </si>
  <si>
    <t>Get King Salman Gate requirements</t>
  </si>
  <si>
    <t>Site visit</t>
  </si>
  <si>
    <t>Afrina - 4 Projects</t>
  </si>
  <si>
    <t>Get BOQs for 4 in-hand projects</t>
  </si>
  <si>
    <t>Start pricing</t>
  </si>
  <si>
    <t>Zedca Project</t>
  </si>
  <si>
    <t>Weekly follow up on border project</t>
  </si>
  <si>
    <t>New Account Hunting</t>
  </si>
  <si>
    <t>Visit construction sites on Makkah Road</t>
  </si>
  <si>
    <t>Add 3 new contacts</t>
  </si>
  <si>
    <t>Visit industrial area companies</t>
  </si>
  <si>
    <t>Add 2 new contacts</t>
  </si>
  <si>
    <t>VIP Client Visit</t>
  </si>
  <si>
    <t>Visit potential VIP client (TBD)</t>
  </si>
  <si>
    <t>Build relationship</t>
  </si>
  <si>
    <t>Weekly Review</t>
  </si>
  <si>
    <t>Review all KPIs - F2F, Calls, Projects</t>
  </si>
  <si>
    <t>Weekly Planning</t>
  </si>
  <si>
    <t>Plan next week activities + priorities</t>
  </si>
  <si>
    <t>Weekly priority - Push for 1.6M SAR decision!</t>
  </si>
  <si>
    <t>Check 35M project pricing with Eng. Mayar</t>
  </si>
  <si>
    <t>Follow up on technical proposal</t>
  </si>
  <si>
    <t>Get feedback</t>
  </si>
  <si>
    <t>Get final decision on 337K project</t>
  </si>
  <si>
    <t>Close deal</t>
  </si>
  <si>
    <t>Payment follow up - 200K+ owed</t>
  </si>
  <si>
    <t>Get schedule</t>
  </si>
  <si>
    <t>Check Al Alyaa quotation status</t>
  </si>
  <si>
    <t>Submit quote</t>
  </si>
  <si>
    <t>Afrina - Projects</t>
  </si>
  <si>
    <t>Schedule visit for next week</t>
  </si>
  <si>
    <t>Weekly border project check</t>
  </si>
  <si>
    <t>Creet Factory</t>
  </si>
  <si>
    <t>Check for new opportunities</t>
  </si>
  <si>
    <t>Rebuild relationship</t>
  </si>
  <si>
    <t>Visit hotel - discuss system project</t>
  </si>
  <si>
    <t>Hotel Hunting</t>
  </si>
  <si>
    <t>Follow up on Pre-Qualification</t>
  </si>
  <si>
    <t>Update Master Report + plan Sunday</t>
  </si>
  <si>
    <t>Push for final decision - 1.6M SAR project!</t>
  </si>
  <si>
    <t>Get PO or update</t>
  </si>
  <si>
    <t>Follow up on technical proposal sent</t>
  </si>
  <si>
    <t>Check 35M project pricing status</t>
  </si>
  <si>
    <t>Hexagon - Payment</t>
  </si>
  <si>
    <t>Follow up on 200K+ payment</t>
  </si>
  <si>
    <t>Check Al Alyaa project quotation status</t>
  </si>
  <si>
    <t>IHCC - Bab Al Khair</t>
  </si>
  <si>
    <t>MACC - KAUST</t>
  </si>
  <si>
    <t>Follow up on FA project</t>
  </si>
  <si>
    <t>Afrina - Rosemond</t>
  </si>
  <si>
    <t>Check Rosemond Hotel quotation</t>
  </si>
  <si>
    <t>Get quote ready</t>
  </si>
  <si>
    <t>Monthly check-in + discuss new projects</t>
  </si>
  <si>
    <t>Send project leads</t>
  </si>
  <si>
    <t>Visit office - discuss all in-hand projects</t>
  </si>
  <si>
    <t>Urgent follow up - deadline passed!</t>
  </si>
  <si>
    <t>Update Master Report + prepare Monday</t>
  </si>
  <si>
    <t>Final status on 337K project</t>
  </si>
  <si>
    <t>Close or move on</t>
  </si>
  <si>
    <t>Check Phase 2 status</t>
  </si>
  <si>
    <t>Get specs</t>
  </si>
  <si>
    <t>Check if any new opportunity</t>
  </si>
  <si>
    <t>فندق الادلاء</t>
  </si>
  <si>
    <t>ALsaad Office</t>
  </si>
  <si>
    <t>Visit office - check for new tenders</t>
  </si>
  <si>
    <t>Get project list</t>
  </si>
  <si>
    <t>Visit hotels - Corniche Road area</t>
  </si>
  <si>
    <t>Check for new projects - he mentioned this week</t>
  </si>
  <si>
    <t>Follow up - he moved to new company</t>
  </si>
  <si>
    <t>Update Master Report + prepare Tuesday</t>
  </si>
  <si>
    <t>Follow up - project is urgent!</t>
  </si>
  <si>
    <t>Send quote</t>
  </si>
  <si>
    <t>Check with Eng. Mayar on 35M project</t>
  </si>
  <si>
    <t>Final check on quotation</t>
  </si>
  <si>
    <t>Submit</t>
  </si>
  <si>
    <t>Hexagon - Seven SBG</t>
  </si>
  <si>
    <t>Check project + payment status</t>
  </si>
  <si>
    <t>Check quotation for charity hospital</t>
  </si>
  <si>
    <t>Submit lowest price</t>
  </si>
  <si>
    <t>Visit hotels - Jabal Omar area</t>
  </si>
  <si>
    <t>Get MEP engineer contact</t>
  </si>
  <si>
    <t>Update Master Report + prepare Wednesday</t>
  </si>
  <si>
    <t>Weekly check on 35M project</t>
  </si>
  <si>
    <t>Check resort project status</t>
  </si>
  <si>
    <t>Get RFQ details</t>
  </si>
  <si>
    <t>Follow up on 4 projects after visits</t>
  </si>
  <si>
    <t>Mid-week check on proposal</t>
  </si>
  <si>
    <t>Follow up on IMC shortlist</t>
  </si>
  <si>
    <t>Check FA project progress</t>
  </si>
  <si>
    <t>Check for post-Hajj projects</t>
  </si>
  <si>
    <t>Creet Office</t>
  </si>
  <si>
    <t>Visit office - discuss payment + goods</t>
  </si>
  <si>
    <t>Get payment</t>
  </si>
  <si>
    <t>Vision Office</t>
  </si>
  <si>
    <t>Visit for IMC 35M project discussion</t>
  </si>
  <si>
    <t>Construction Site Hunting</t>
  </si>
  <si>
    <t>Visit construction sites - Al Rawdah area</t>
  </si>
  <si>
    <t>Honeywell - Hassan</t>
  </si>
  <si>
    <t>Discuss hotel GRMS opportunities</t>
  </si>
  <si>
    <t>Plan joint visits</t>
  </si>
  <si>
    <t>Update Master Report + prepare Thursday</t>
  </si>
  <si>
    <t>Last call of the week - final push!</t>
  </si>
  <si>
    <t>Decision required</t>
  </si>
  <si>
    <t>Final check after Wednesday meeting</t>
  </si>
  <si>
    <t>Final quotation status</t>
  </si>
  <si>
    <t>Afrina - All Projects</t>
  </si>
  <si>
    <t>Weekly summary - all 4 projects status</t>
  </si>
  <si>
    <t>Plan next week</t>
  </si>
  <si>
    <t>Weekly payment follow up</t>
  </si>
  <si>
    <t>Final decision on 337K</t>
  </si>
  <si>
    <t>Get final status on quotation</t>
  </si>
  <si>
    <t>Weekly check on border project</t>
  </si>
  <si>
    <t>Track</t>
  </si>
  <si>
    <t>Visit construction sites - Makkah Road</t>
  </si>
  <si>
    <t>Industrial Area Hunting</t>
  </si>
  <si>
    <t>Visit industrial companies</t>
  </si>
  <si>
    <t>Weekly KPI Review</t>
  </si>
  <si>
    <t>Review Week 20: F2F, Calls, Projects, Pipeline</t>
  </si>
  <si>
    <t>Plan Week 21</t>
  </si>
  <si>
    <t>Prepare next week priorities + targets</t>
  </si>
  <si>
    <t>Check for new opportunities after lost project</t>
  </si>
  <si>
    <t>Check Al Alyaa project quotation</t>
  </si>
  <si>
    <t>Follow up on 4 in-hand projects</t>
  </si>
  <si>
    <t>Schedule visit</t>
  </si>
  <si>
    <t>Check charity hospital quotation</t>
  </si>
  <si>
    <t>Check FA project - Panel Layout</t>
  </si>
  <si>
    <t>Mid-week check on proposal approval</t>
  </si>
  <si>
    <t>Follow up on Pre-Qualification response</t>
  </si>
  <si>
    <t>Visit office - discuss all BOQs</t>
  </si>
  <si>
    <t>Check Phase 2 status - who won?</t>
  </si>
  <si>
    <t>Check IMC shortlist result</t>
  </si>
  <si>
    <t>Final check on Al Alyaa quotation</t>
  </si>
  <si>
    <t>Check Rosemond Hotel quotation - 1.2M</t>
  </si>
  <si>
    <t>Push for technical proposal approval</t>
  </si>
  <si>
    <t>Get decision</t>
  </si>
  <si>
    <t>Follow up after Saturday visit</t>
  </si>
  <si>
    <t>Check for new projects he mentioned</t>
  </si>
  <si>
    <t>Follow up on quotation sent</t>
  </si>
  <si>
    <t>Check Qiddya project status</t>
  </si>
  <si>
    <t>Visit office - discuss payment + new projects</t>
  </si>
  <si>
    <t>Final check on 35M project after meeting</t>
  </si>
  <si>
    <t>Follow up after Sunday meeting - BOQs</t>
  </si>
  <si>
    <t>Check for any new opportunities</t>
  </si>
  <si>
    <t>Push for quotation decision</t>
  </si>
  <si>
    <t>Final push for approval</t>
  </si>
  <si>
    <t>Check if he reviewed our profile</t>
  </si>
  <si>
    <t>Get meeting</t>
  </si>
  <si>
    <t>Monthly check-in + new projects</t>
  </si>
  <si>
    <t>Send leads</t>
  </si>
  <si>
    <t>Final decision required on 337K</t>
  </si>
  <si>
    <t>Final decision on quotation</t>
  </si>
  <si>
    <t>Follow up on MEP contacts</t>
  </si>
  <si>
    <t>Review Week 21: F2F, Calls, Projects, Pipeline</t>
  </si>
  <si>
    <t>Plan Week 22</t>
  </si>
  <si>
    <t>Follow up on quotation - push for PO</t>
  </si>
  <si>
    <t>Check Phase 2 status after Eid</t>
  </si>
  <si>
    <t>Weekly payment follow up - 200K+ owed</t>
  </si>
  <si>
    <t>Check Al Alyaa project status</t>
  </si>
  <si>
    <t>Check charity hospital quotation status</t>
  </si>
  <si>
    <t>Submit lowest</t>
  </si>
  <si>
    <t>Check FA project after Eid vacation</t>
  </si>
  <si>
    <t>Visit hotel - system requirements discussion</t>
  </si>
  <si>
    <t>Visit hotels - Central area</t>
  </si>
  <si>
    <t>Push for final decision on quotation</t>
  </si>
  <si>
    <t>Check 1.2M project quotation status</t>
  </si>
  <si>
    <t>Check for new projects after meeting</t>
  </si>
  <si>
    <t>Get leads</t>
  </si>
  <si>
    <t>Afrina Office</t>
  </si>
  <si>
    <t>Visit office - discuss all 4 projects BOQs</t>
  </si>
  <si>
    <t>Add 3 contacts</t>
  </si>
  <si>
    <t>Push for PO - final decision needed</t>
  </si>
  <si>
    <t>Check with Eng. Mayar on 35M pricing</t>
  </si>
  <si>
    <t>Rebuild</t>
  </si>
  <si>
    <t>Check Phase 2 specs</t>
  </si>
  <si>
    <t>Add 2 contacts</t>
  </si>
  <si>
    <t>Push for final decision</t>
  </si>
  <si>
    <t>Final check on 1.2M quotation</t>
  </si>
  <si>
    <t>Get quote</t>
  </si>
  <si>
    <t>Check for new projects</t>
  </si>
  <si>
    <t>Add contacts</t>
  </si>
  <si>
    <t>Update Master Report + Weekly Review</t>
  </si>
  <si>
    <t>Mawten Masar - Afrina</t>
  </si>
  <si>
    <t>9:10AM</t>
  </si>
  <si>
    <t xml:space="preserve">هكلمه الساعة 9 و هقابله في السايت الساعة 10 الصبح ان شاء الله </t>
  </si>
  <si>
    <t>Cold Calls</t>
  </si>
  <si>
    <t>10:11AM</t>
  </si>
  <si>
    <t>Cold Call</t>
  </si>
  <si>
    <t>Honeywell Meeting</t>
  </si>
  <si>
    <t>1:2PM</t>
  </si>
  <si>
    <t>عشان نشوف مشروع المصباح و كمان مشروع موطن مسار بتاع عفرينا و كمان هو معاه كام مشروع كمان</t>
  </si>
  <si>
    <t xml:space="preserve">Hotel Hunting </t>
  </si>
  <si>
    <t>4:5PM</t>
  </si>
  <si>
    <t>جدة</t>
  </si>
  <si>
    <t>Cold Calls &amp; Emails</t>
  </si>
  <si>
    <t>Cold calls</t>
  </si>
  <si>
    <t>Al Manar Integrated Mixed use [SB10459] [Construction]</t>
  </si>
  <si>
    <t>اول طريق مكة جدة السريع - صرح التقنية للمقاولات</t>
  </si>
  <si>
    <t>Al-Masat Mall Al Huda Park [SB9734]</t>
  </si>
  <si>
    <t>Alfaneyah Electromechanical - الهدى</t>
  </si>
  <si>
    <t>Dekkah Plaza Mall</t>
  </si>
  <si>
    <t>2:3:PM</t>
  </si>
  <si>
    <t>ittihad &amp; Takafol - العوالي</t>
  </si>
  <si>
    <t>3:4PM</t>
  </si>
  <si>
    <t>الهدى - العوالي</t>
  </si>
  <si>
    <t xml:space="preserve">Filling the excel sheet </t>
  </si>
  <si>
    <t>برج الخياط الاداري</t>
  </si>
  <si>
    <t>12:1PM</t>
  </si>
  <si>
    <t>Site Hunting - From what'sapp AK</t>
  </si>
  <si>
    <t>Golden Triangle [SB12700]</t>
  </si>
  <si>
    <t>Ammico International Contracting</t>
  </si>
  <si>
    <t>Jeddah Economic City - Jeddah - [SB395][65%]</t>
  </si>
  <si>
    <t>Arabian Bemco Contracting - Saudi Pioneers Construction Holding-SPC</t>
  </si>
  <si>
    <t>Filling the excel sheet</t>
  </si>
  <si>
    <t>Site Hunting - From what'sapp AK - &lt;https://maps.app.goo.gl/amVC1VPGNyNvUSWX7&gt;</t>
  </si>
  <si>
    <t>Jeddah Destination Project- Jeddah - Al-Birr Association - [SB13320][87]</t>
  </si>
  <si>
    <t>Al Tawsiaa Contracting Co. - &lt;https://maps.app.goo.gl/zwiU2m5sQRF5YSw16&gt;</t>
  </si>
  <si>
    <t>Ammico International Contracting &lt;https://maps.app.goo.gl/sDhfCf8Sovq7Mdtu9&gt;</t>
  </si>
  <si>
    <t>Follow up and Prepating nex week plan</t>
  </si>
  <si>
    <t>11:12AM</t>
  </si>
  <si>
    <t>Hotel Hunting Nearby</t>
  </si>
  <si>
    <t>Weekly Meeting</t>
  </si>
  <si>
    <t xml:space="preserve">Honeywell Meeting </t>
  </si>
  <si>
    <t>Fakeeh Surgical Tower [SB3805][19%]</t>
  </si>
  <si>
    <t>Jabal Al Kaaba Project</t>
  </si>
  <si>
    <t>Al-Aziziyah Projects</t>
  </si>
  <si>
    <t>Eman Medical Facility - Jeddah - [SB2969]</t>
  </si>
  <si>
    <t>Sameer Redwan Construction and Development Company	MEP Contractor	Saudi Arabia	Makkah Province		+966-502636808- 920011177 ... https://maps.app.goo.gl/QoRqFg4TVvgS8Hv2A</t>
  </si>
  <si>
    <t>Porta Jeddah - Jeddah - Canopy by Hilton Hotel - [SB9409]</t>
  </si>
  <si>
    <t>Saudi Real Estate Construction Company (TAMEAR)	Contractor	Saudi Arabia	Riyadh Province	info@tamear.com.sa	+966-114653111	
Amr Elkony - MEP Manager in Red Sea Project 
amr.kony@tamear.com.sa .. https://maps.app.goo.gl/Mj3HdpqYSCGqaijC6</t>
  </si>
  <si>
    <t>U-View Tower - Jeddah - St. Regis Hotel - [SB12508]</t>
  </si>
  <si>
    <t>Asas Al Amar Contracting Company	Contractor	Saudi Arabia	Makkah Province	asasco@asasalamar.sa		
Mohammed Asif Ahmed - Civil Engineer in U-view 
+966-541598633	-- Saud Al Arife Investment Group	Developer	Saudi Arabia	Riyadh Province	info@engsaudgroup.com	+966-535073665</t>
  </si>
  <si>
    <t>Shangri-La Jeddah - Sheraton Jeddah Hotel red sea</t>
  </si>
  <si>
    <t>منطقة النسيم</t>
  </si>
  <si>
    <t>Security Forces Hospital-Makkah</t>
  </si>
  <si>
    <t>https://maps.app.goo.gl/MX9ToYhA9KJcttD88</t>
  </si>
  <si>
    <t xml:space="preserve">Maternity and Children Hospital - King Abdullah Medical City
</t>
  </si>
  <si>
    <t>https://maps.app.goo.gl/919VzLzEeSHjKagQ7</t>
  </si>
  <si>
    <t xml:space="preserve">King Abdullah Medical City
</t>
  </si>
  <si>
    <t>https://maps.app.goo.gl/yHUKdE6zCK8WT467A</t>
  </si>
  <si>
    <t xml:space="preserve">Four Points by Sheraton
فندق مواكب المزن
Al Hidayah Towers &amp; Hotel
</t>
  </si>
  <si>
    <t>B Hotel - Jeddah - [SB9618]</t>
  </si>
  <si>
    <t>International Hospitals Construction Company (IHCC)	Contractor	Saudi Arabia	Makkah Province	info@ihcc.sa	+966-920006540	
Zohaib Sarwer - Construction Manager The VUE and B Hotels
+966-507025258	https://maps.app.goo.gl/Bk9KrjCno6ZXfaEt8</t>
  </si>
  <si>
    <t>Tribute Portfolio Hotel - Obhur - [SB9714]</t>
  </si>
  <si>
    <t>Ruwa Construction &amp; Development Company	MEP Contractor	Saudi Arabia	Riyadh Province	ruwa@ruwagroup.com	+966-112930565 - 112930564	
Mohammad Abraruddin Farooqui - Planning Engineer 
+966-539403116    https://maps.app.goo.gl/W8iVYQTBbHixHSiX8</t>
  </si>
  <si>
    <t>Sumou Towers - Jeddah - Tower 2 - [SB10359]</t>
  </si>
  <si>
    <t xml:space="preserve">https://maps.app.goo.gl/Nb7YNbDuJ735697aA  BUNA	MEP Contractor	Saudi Arabia	Makkah Province		+966- 126586686	
Omar Alsalami - Electrical Engineer in Sumou Towers 
+966-530213450	</t>
  </si>
  <si>
    <t>Creating Weekly Plan</t>
  </si>
  <si>
    <t>Existing Clients Follow up</t>
  </si>
  <si>
    <t xml:space="preserve">JOMDAN I جٌمـــــدان
</t>
  </si>
  <si>
    <t>( https://maps.app.goo.gl/pAsUh62vPnTL9hSL9 ) 0125335515</t>
  </si>
  <si>
    <t xml:space="preserve">مجموعة الفيصل العقارية
شركة مسكن الأفق للتطوير العقاري
شركة دارا للتطوير العقاري
</t>
  </si>
  <si>
    <t>https://maps.app.goo.gl/5BcmYAMZrZgMxP2v5   /  https://maps.app.goo.gl/3PmEDsB8Eh4fkaqc9    /   https://maps.app.goo.gl/3exL9ykg7K5kcsfx6</t>
  </si>
  <si>
    <t xml:space="preserve">لقيا التطورية للخدمات العقارية والعامة
</t>
  </si>
  <si>
    <t>https://maps.app.goo.gl/F3UUE4ZkpuaKo1yS8</t>
  </si>
  <si>
    <t>https://maps.app.goo.gl/TnigrhmGWRTyt5G96</t>
  </si>
  <si>
    <t>HATCO</t>
  </si>
  <si>
    <t>https://maps.app.goo.gl/kP4Q6FUuXV8tt5Az6</t>
  </si>
  <si>
    <t>https://maps.app.goo.gl/Cs96ierLNQpXDdGB7</t>
  </si>
  <si>
    <t>https://maps.app.goo.gl/m4xVLoqPEd8UbSpM6</t>
  </si>
  <si>
    <t>فنادق الحرم و طريق اجياد</t>
  </si>
  <si>
    <t>UDC - United Diamond Contractors</t>
  </si>
  <si>
    <t>https://maps.app.goo.gl/R7wxkmAcA7k3nLRW7</t>
  </si>
  <si>
    <t>Alsaad General Contracting Company</t>
  </si>
  <si>
    <t>https://maps.app.goo.gl/KrRYNnvL6CVa4vw67</t>
  </si>
  <si>
    <t>Alwedad Contracting Co. Ltd</t>
  </si>
  <si>
    <t>https://maps.app.goo.gl/sjUGqq4MN7siLx797</t>
  </si>
  <si>
    <t>التنعيم</t>
  </si>
  <si>
    <t xml:space="preserve">Trump Tower احمد طالب </t>
  </si>
  <si>
    <t>اروح على المشروع و اسال على مهندس احمد طالب و اقوله اني من طرف مهندس كريم خضير</t>
  </si>
  <si>
    <t>Vision Construction Meeting</t>
  </si>
  <si>
    <t>هاخد منه مشروع مسار الي معاهم من المشتريات</t>
  </si>
  <si>
    <t>Arabic Seyal For Contracting</t>
  </si>
  <si>
    <t>https://maps.app.goo.gl/GWEZP51hnjTQK2ih6</t>
  </si>
  <si>
    <t>Sari Street Projects</t>
  </si>
  <si>
    <t>https://maps.app.goo.gl/pseP3GfMfnJsRA6B7</t>
  </si>
  <si>
    <t>الشوقية</t>
  </si>
  <si>
    <t>Marriot Obhur</t>
  </si>
  <si>
    <t>طريق المدينة المنورة</t>
  </si>
  <si>
    <t xml:space="preserve"> محمد بن عبدالعزيز (شارع التحلية)</t>
  </si>
  <si>
    <t>Shatri Tower - Al Andalus - Jeddah - [SB14548]</t>
  </si>
  <si>
    <t>https://maps.app.goo.gl/cX7P5PXQT9m3qF197</t>
  </si>
  <si>
    <t>الفيصلية - جده</t>
  </si>
  <si>
    <t>الفيصلية - جده طريق المالك ماجد</t>
  </si>
  <si>
    <t>Preparing Weekly Plan</t>
  </si>
  <si>
    <t>Clients Follow Up</t>
  </si>
  <si>
    <t>Contacts Follow up</t>
  </si>
  <si>
    <t>Marriot Jabal Omar</t>
  </si>
  <si>
    <t>Regent Jabal Omar</t>
  </si>
  <si>
    <t>Anjum Hotel</t>
  </si>
  <si>
    <t>Hampton Hilton جنب محطة القطار</t>
  </si>
  <si>
    <t xml:space="preserve">الراشدية </t>
  </si>
  <si>
    <t>Weekly Pre-Sales Meeting</t>
  </si>
  <si>
    <t>جبل البناء للمقاولات</t>
  </si>
  <si>
    <t>شركة معاها ارض في مسار وخداها من ام القرى</t>
  </si>
  <si>
    <t>BAK</t>
  </si>
  <si>
    <t>بيوت الخماسية</t>
  </si>
  <si>
    <t>شركة معاها ارض في مسار وخداها من ام القرى --- https://maps.app.goo.gl/YFZ4qYV883GuFq6p9</t>
  </si>
  <si>
    <t>Creet Meeting</t>
  </si>
  <si>
    <t>هروح اخلص معاهم موضوع الفلوس الاخير و هحاول اشوف المشروع الي معاهم في الرياض لو نقدر نخش معاهم فيه و نعوض ده بده</t>
  </si>
  <si>
    <t>Hotel Hunting Arround</t>
  </si>
  <si>
    <t>Follow UP</t>
  </si>
  <si>
    <t xml:space="preserve">Cold Calls </t>
  </si>
  <si>
    <t>Thakher City</t>
  </si>
  <si>
    <t xml:space="preserve">Novotel Thakher </t>
  </si>
  <si>
    <t>Voco Makkah</t>
  </si>
  <si>
    <t>Park inn Radison Thakher</t>
  </si>
  <si>
    <t>Honeywell Meeting Mohamed Essa</t>
  </si>
  <si>
    <t>Pre Sales Meeting</t>
  </si>
  <si>
    <t>ميتنج مع الرابطة الاسلامية</t>
  </si>
  <si>
    <t>ميتنج مع حامد الهرساني</t>
  </si>
  <si>
    <t>طريق المدينة المنورة الى ابحر</t>
  </si>
  <si>
    <t>فندق أنجم مكة</t>
  </si>
  <si>
    <t>.2قصر مكة رافلز</t>
  </si>
  <si>
    <t>.3صفوة الغفران</t>
  </si>
  <si>
    <t>.4فيرمونت برج الساعة</t>
  </si>
  <si>
    <t>.5سويس أوتيل مكة</t>
  </si>
  <si>
    <t>.6دار التوحيد إنتركونتيننتال</t>
  </si>
  <si>
    <t>.7سويس أوتيل المقام</t>
  </si>
  <si>
    <t>.8درر الإيمان رويال</t>
  </si>
  <si>
    <t>شارع الملك عبدالعزيز بالكامل من مستشفى الملك فهد الى ابحر</t>
  </si>
  <si>
    <t>Emcotech Ahmed Qassem Call</t>
  </si>
  <si>
    <t xml:space="preserve">Al-Mesbah Group - مشروع هيلتون جده </t>
  </si>
  <si>
    <t xml:space="preserve">هعرف منه تفاصيل المشروع </t>
  </si>
  <si>
    <t xml:space="preserve">BAK United Visit </t>
  </si>
  <si>
    <t>Hilton Jeddah Al-Mespah Group</t>
  </si>
  <si>
    <t>Hiex Hotel Jeddah</t>
  </si>
  <si>
    <t>Riyadh Bank Headquarter</t>
  </si>
  <si>
    <t>Marriot Tribute Portfolio Hotel</t>
  </si>
  <si>
    <t>Tramp Tower</t>
  </si>
  <si>
    <t>1جراند مكة (الغزة)</t>
  </si>
  <si>
    <t>.2نزل بكة (جرول)</t>
  </si>
  <si>
    <t>.3الأرض المتميزة (جرول)</t>
  </si>
  <si>
    <t>.4ويرجان النور (حي النور)</t>
  </si>
  <si>
    <t>.5دار الأزهر (المعابدة/الشيشة)</t>
  </si>
  <si>
    <t>.6أبراج لو ميريديان (كدي)</t>
  </si>
  <si>
    <t>Hamed Harasani</t>
  </si>
  <si>
    <t>Al-Badeel</t>
  </si>
  <si>
    <t>Emcotech</t>
  </si>
  <si>
    <t>WATCO</t>
  </si>
  <si>
    <t>q</t>
  </si>
  <si>
    <t>Neom</t>
  </si>
  <si>
    <t>كان بيقولي انه محتاج يدينا مشروع نيوم بتاعهم عشان نبدأ نشتغل فيه و قولتله ان انتم عليكم فلوس لسة للشركة و محتاجين نقسمهم على دفعات</t>
  </si>
  <si>
    <t>بجيب كشف الحساب بتاعهم و هكلمه تاني عشان اخد التفاصيل منه</t>
  </si>
  <si>
    <t>المشروع ده in hand معاهم و محتاجين يسعروا ال BOQ فقط</t>
  </si>
  <si>
    <t>هتابعه اول ما الكوتيشن تطلع</t>
  </si>
  <si>
    <t>مشروع فلل سكن خاص لعبدالعزيز حبيب</t>
  </si>
  <si>
    <t xml:space="preserve">مشروع فلل سكن خاص </t>
  </si>
  <si>
    <t>V-Yard</t>
  </si>
  <si>
    <t xml:space="preserve">بوابة الملك سلمان </t>
  </si>
  <si>
    <t xml:space="preserve">مجمع المنار - روشن  </t>
  </si>
  <si>
    <t xml:space="preserve">دخلنا ميتنج عشان نخلص باقي الشيت بتاع ال Follow Up </t>
  </si>
  <si>
    <t>Al-Salama Hospital</t>
  </si>
  <si>
    <t>كنت بتابع معاه السيستم الي هو محتاجه في المستشفى عنده و اتفقت اني هروحله بكره الاربعاء في جدة عشان اعمل معاينه للي هو محتاجة بالظبط لانه مش عارف يشرح في التليفون</t>
  </si>
  <si>
    <t>Komar Morgan</t>
  </si>
  <si>
    <t>ابراج موطن المسار</t>
  </si>
  <si>
    <t xml:space="preserve">دي شركة عفرينا Afrina معاهم 4 مشاريع in hand و منهم مشروع ابراج موطن المسار و ده مهم جدا على طريق مكة قالي ابعتلي Pre Qualification و بعدها نحدد ميعاد نتقابل في المكتب </t>
  </si>
  <si>
    <t>بعت الي هو محتاجة و مستني الرد</t>
  </si>
  <si>
    <t>ميتنج الاحد القادم</t>
  </si>
  <si>
    <t>رؤى الحرم المكي</t>
  </si>
  <si>
    <t>روحت الشركة نفسها عشان اقابل حد بس للاسف لازم ميعاد من الاول و مش عارف اوصل لاي حد</t>
  </si>
  <si>
    <t xml:space="preserve">تعديل شيت الاكسيل </t>
  </si>
  <si>
    <t>روح المستشفى عشان اشوف السيستم نفسه محتاج تعديل ازاي و قعدت مع تيم المهندسين عشان اعرف هم محتاجين ايه بالظبط</t>
  </si>
  <si>
    <t>معرفه هل يمكن عمل السيستم ام لا</t>
  </si>
  <si>
    <t>HPE Aruba Event</t>
  </si>
  <si>
    <t>Event</t>
  </si>
  <si>
    <t>ايفنت خاص ب HPE - Al Jammaz Tech. كان بيتكلم على منتجات Aruba الجديدة و ازاي هي بتقدر تتوقع بالمشاكل الي ممكن تحصل من Latency &amp; Hacking و الى اخره</t>
  </si>
  <si>
    <t xml:space="preserve">كان ميتنج تعارف بيني و بين مهندس حسن و علاء من Honeywell و و ان شاء الله يكون فيه بينا شغل دايما </t>
  </si>
  <si>
    <t>حددت ميتنج معاه يوم الاحد الساعة 1</t>
  </si>
  <si>
    <t>Call with Taha and Omnia</t>
  </si>
  <si>
    <t>كنت بتابع معاهم المشاريع بتاعتي وصلت لفين</t>
  </si>
  <si>
    <t>كنت بخلص اخر ابديت فالشيت و خلاص بقا جاهز عشان نشتغل عليه الحمد لله</t>
  </si>
  <si>
    <t>Alawalat</t>
  </si>
  <si>
    <t xml:space="preserve">اكونت جديد كلمته و مكانش يعرفنا سألته على المشاريع بس دلوقتي مفيش حاجة و الاسبوع الجي هيكون فيه مشروع </t>
  </si>
  <si>
    <t>Call again</t>
  </si>
  <si>
    <t>Send Pre then Follow up</t>
  </si>
  <si>
    <t>Kix Futsal Complex</t>
  </si>
  <si>
    <t>متابعة</t>
  </si>
  <si>
    <t>هيقولي ايه الجديد الي حصل فالمشروع</t>
  </si>
  <si>
    <t>كنت بسأله على المشروع و قالي انه ميعرفش ايه الجديد فيه لسة و هيقولي الابديت يوم الاتنين</t>
  </si>
  <si>
    <t xml:space="preserve">Honeywell </t>
  </si>
  <si>
    <t>كنت بتابعه كده من وقت للتاني عشان اشوف لو فيه مشروع محتاج اروح ازوره</t>
  </si>
  <si>
    <t>Code 03</t>
  </si>
  <si>
    <t>Technically Approved</t>
  </si>
  <si>
    <t xml:space="preserve">اكلمه بكرة اتابع معاه عشان يبعتلي الميل بتاع ال Follow sheet </t>
  </si>
  <si>
    <t>مش شغال السبت كنت بسأله على المشاريع بس قالي كلمني الاحد</t>
  </si>
  <si>
    <t>كلمه تاني يوم الاحد</t>
  </si>
  <si>
    <t>صالة الامير فيصل للفنون</t>
  </si>
  <si>
    <t xml:space="preserve">كان متضايق من ان اسعارنا غالية بس هندلته و قالي روح اعمل معاينة للمشروع فيه هناك Barriers , CCTV , BMS و كمان فيه Fire بس مش عاوز يديهولنا </t>
  </si>
  <si>
    <t xml:space="preserve">المشروع ده هيروحه بشمهندس حمدي </t>
  </si>
  <si>
    <t>بحاول على قد ما اقدر احصل منهم الفلوس الي موجودة على الشركة بس فيه مشكلة في كشف الحساب و بتابعها</t>
  </si>
  <si>
    <t xml:space="preserve">مستني من مصطفى هزاع انه يقولي الكاميرات و البضاعه هتوصل امتى عشان اخلي الراجل يحول الفلوس </t>
  </si>
  <si>
    <t>متابعة مع مصطفى هزاع و متابعة مع امل في الحسابات عشان اعرف وصلنا لفين في مديونية الشركات كلمت Hexagon و كلمت Creet</t>
  </si>
  <si>
    <t>كلمته عشان اتابع معاه المشروع الي عاوزنا نخلص فيه و كمان عشان اعرف الفلوس ايه اخبارها و قالي هرد عليك خلال اليوم و مستني مني عرض السعر</t>
  </si>
  <si>
    <t>هيرد عليا يقولي الباقي</t>
  </si>
  <si>
    <t>Western Tower Jeddah</t>
  </si>
  <si>
    <t>هديني اخر ابديت IMC و يقولي تفاصيل مشروع Zedca</t>
  </si>
  <si>
    <t>Onity Project</t>
  </si>
  <si>
    <t xml:space="preserve">تجهيز الشيت الاخير و عملت شير مع الشباب و كمان شرحتلهم كل حاجة تاني من الاول يقدروا يستخدموه دلوقتي </t>
  </si>
  <si>
    <t>كلم عمير هات منه ديسكاونت</t>
  </si>
  <si>
    <t xml:space="preserve">كنت بسأله لو فيه مشاريع تاني قالي المشاريع بتيجي كل شهر ولا اتنين مش كل اسبوع ف تابعني كل شهر </t>
  </si>
  <si>
    <t>شوف حد تاني من هناك تابعه افضل عشان الراجل ده قليل الذوق</t>
  </si>
  <si>
    <t>RIC</t>
  </si>
  <si>
    <t>كلمته عشان يبعتلي الشيت الي قالي عليه بتاع المشروع بس عرفت ان المشروع اصلا مع عبدالرحمن عبدالعليم</t>
  </si>
  <si>
    <t>قالي ابعتلي ميل عشان احطك في ال CC في اي مشروع بعد كده و بعتله البروفايل و يومين كده و اكلمه تاني ااكد عليه</t>
  </si>
  <si>
    <t>كلمه اكد عليه انه شاف البروفايل و حاول تحدد معاه ميعاد</t>
  </si>
  <si>
    <t>Technical Submission</t>
  </si>
  <si>
    <t xml:space="preserve">هروح لمهندس محمد عيسى جدة نقعد مع بعض و نشوف المشاريع الي نقدر نشتغل عليها و هيشرحلي عن البراند اكتر كمان </t>
  </si>
  <si>
    <t>بكرة ميتنج جدة</t>
  </si>
  <si>
    <t xml:space="preserve">لفيت في العزايزية و طريق الملك فهد </t>
  </si>
  <si>
    <t>لفيت ابحر الشمالية بالكامل</t>
  </si>
  <si>
    <t>After 5PM</t>
  </si>
  <si>
    <t xml:space="preserve">الراجل ده بيكون ماسك كل مشاريع ال BMS كلمته و رايحله الاربع ميتنج </t>
  </si>
  <si>
    <t xml:space="preserve">الاربعاء ميتنج </t>
  </si>
  <si>
    <t xml:space="preserve">معاه مشروعين in hand ده تبع مهندس فراس الي عندنا في الشركة ومحتاج اتابع معاه كمان يومين اعرف الداتا وصلت لفين </t>
  </si>
  <si>
    <t xml:space="preserve">Follow up </t>
  </si>
  <si>
    <t>Mini Market in KAUST</t>
  </si>
  <si>
    <t>بيبعتلي في الاول مقطوعيات بس و دلوقتي معاه مشاريع و بتابع معاه كل اسبوع لو فيه حاجة جديدة و قالي انه مستعجل على مشروع ال Mini Market Kaust و محتاجه في اقرب وقت</t>
  </si>
  <si>
    <t xml:space="preserve">Bab Al Khair Hospital </t>
  </si>
  <si>
    <t>المشروع ده مشروع خيري في مكة و محتاجين اقل سعر في كل حاجة و هو بيقولي اول ما تخلص اي تسعير لاي نظام ابعتلي على طول السعر لانه هيخش مع اقل سعر في اي نظام</t>
  </si>
  <si>
    <t>New Multistory Storage</t>
  </si>
  <si>
    <t xml:space="preserve">خسرنا المشروع بسبب السعر و التأخير في الرد على سعر الكوتيشن </t>
  </si>
  <si>
    <t>Catrion Creet</t>
  </si>
  <si>
    <t xml:space="preserve">بتابع معاه الفلوس المدفوعات و المستحقات المالية بينا و بينه و بظبط الضمانات الي هو محتاجها عشان ناخد فلوسنا كلها </t>
  </si>
  <si>
    <t xml:space="preserve">لازم ابعتله الضمان بتاع كل item و كمان اعرف الكاميرات ال 8 Mega Pixels هتوصل امتى </t>
  </si>
  <si>
    <t>Stock on Fire</t>
  </si>
  <si>
    <t xml:space="preserve">كنت بحاول اشرف موزع تاني للكاميرات ال 8 ميجا بيكسل و فعلا لقيت سعر اقل بس لسة مدة التوريد طويلة </t>
  </si>
  <si>
    <t>مفيش جديد في مشروع IMC لسة اصلا احنا مطلعناش عروض الاسعار بتاعتنا لحد دلوقتي ف بتابع معاه عشان لو رسي على حد</t>
  </si>
  <si>
    <t>Mawten Masar</t>
  </si>
  <si>
    <t>معاه مشروع موطن مسار و بحاول اخد منه الباكدج بأي شكل من الاشكال و اداني حد من المشتريات</t>
  </si>
  <si>
    <t>Al-Shamela</t>
  </si>
  <si>
    <t>بعتله تاني عشان ااكد عليه يبعتلي مشاريعه ال in hand و لسة مستنيه يبعتهالي</t>
  </si>
  <si>
    <t>كنت بسأله لو يقدر يوفر الكاميرات بتاعت مشروع Catrion</t>
  </si>
  <si>
    <t>Fill Follow up Sheet and update notes on the projects</t>
  </si>
  <si>
    <t xml:space="preserve">معاه مشروع فيلات و مشروع al Qiddya و بعتلي الملفات و رفعتهم للشباب و لسة شغالين عليهم و المفروض ان حاجة فيهم هتخلص يوم السبت او الاحد بالكتير </t>
  </si>
  <si>
    <t>مستني الكوتيشن تخلص</t>
  </si>
  <si>
    <t xml:space="preserve">لسة برضه مستني منه المشروع مش عاوز يبعته </t>
  </si>
  <si>
    <t>هكلمه تاني عشان يبعت الباكدج</t>
  </si>
  <si>
    <t xml:space="preserve">كلمته عشان احدد ميتنج معاه تاني عشان طلع مش فاضي في اليوم ده و قالي كلمني على اول الاسبوع الجي </t>
  </si>
  <si>
    <t>حدد معاه ميتنج</t>
  </si>
  <si>
    <t xml:space="preserve">المشروع كان عاوز عليه ديسكاونت و لسة لحد دلوقتي مردش عليا في الجديد بتاعه </t>
  </si>
  <si>
    <t xml:space="preserve">محتاج اتابع معاه اخبار المشروع عشان كان بيقدم اخر حاجة </t>
  </si>
  <si>
    <t xml:space="preserve">New Multistory </t>
  </si>
  <si>
    <t xml:space="preserve">حاولت اخر مره معاه و للاسف خسرنا المشروع تماما و منقدرش نخش و كنت بشوف لو معاه مشاريع تانيه </t>
  </si>
  <si>
    <t xml:space="preserve">بعمل سيرش عشان سيستم مستشفى السلامة هل هعرف اعمله ولا لا </t>
  </si>
  <si>
    <t xml:space="preserve">Unknown Project </t>
  </si>
  <si>
    <t xml:space="preserve">قالي الراجل رد عليه و قاله انه خلص المشروع مع حد تبعه و معرفش يرد عليه كل ده عشان سافر السعودية </t>
  </si>
  <si>
    <t>Al Salama Hospital</t>
  </si>
  <si>
    <t xml:space="preserve">كنت بأكد عليه الميتنج بس قالي انه هو بس الي ممكن يخش معايا لان التيم هيكون فاضي بكره الاحد </t>
  </si>
  <si>
    <t>Kix Futsal</t>
  </si>
  <si>
    <t xml:space="preserve">مفيش جديد لسة عن المشروع هو بعت الكوتيشن و مستني الرد من الاستشاري </t>
  </si>
  <si>
    <t>كنت بتابع معاه موضوع الفلوس الي لينا عندهم و كمان بسأله لو ال BOQ بتاعت مشروع Seven جت ولا لسة و اخر الابديت انا محتاج من عبدالرحمن يروحله و يظبط معاه موضوع ال Payment Plan</t>
  </si>
  <si>
    <t>Villas</t>
  </si>
  <si>
    <t xml:space="preserve">اتكلمت معاه في اني محتاج اشوفه و اعرف مكانه فين و عرفت انه موجود في جدة و المشروع نفسه في الرياض </t>
  </si>
  <si>
    <t xml:space="preserve">برمجة السوفتوير بتاع مستشفى السلامة </t>
  </si>
  <si>
    <t>بعتله يخش معايا عشان اوريه اخر الابديت عشان نكون جاهزين للميتنج مع التيم و دخلنا</t>
  </si>
  <si>
    <t>Massar Mall</t>
  </si>
  <si>
    <t xml:space="preserve">بحاول معاه يبعتلي مشروع مسار مول لانهم خدوا المشروع ده بس لسة مفيش جديد بعتلي مشروع تاني غيره و مستني الابديت بتاعه </t>
  </si>
  <si>
    <t xml:space="preserve">وصلت لحاجة كويسة جدا في السيستم و الميتنج على الساعه 12 </t>
  </si>
  <si>
    <t xml:space="preserve">بعتله الكوتيشن و مستني رده بس طلب مني ال Calculation - Panel Layout بس للاسف الحاجات دي مش بتطلع اصلا الا لما يكون فيه PO </t>
  </si>
  <si>
    <t>Rosemond</t>
  </si>
  <si>
    <t>بعتله المشروع عشان يسعرهولي و قالي انه هيطلع بكره تاني يوم عشان الحق ابعته للكلاينت</t>
  </si>
  <si>
    <t>تأكيد حاجة اخيرة قبل الميتنج في النظام</t>
  </si>
  <si>
    <t>بتابع معاه اخر الابديت عشان مشروع كاتريون</t>
  </si>
  <si>
    <t>دخلت الميتنج و طلبوا مني شوية تعديلات كده و اضافات هقعد اشتغل عليها بكرة و بعده</t>
  </si>
  <si>
    <t xml:space="preserve">روحت ل ابحر الجنوبية </t>
  </si>
  <si>
    <t>Oxagon Neom</t>
  </si>
  <si>
    <t>ده من شركة ساتكو عندهم مشكلة في الداشبورد بتاعت الفاير و احنا بنحاول نحلها معاهم و وصلنا ان هيكون فيه ميتنج هيحصل و بعدها هنبعتلهم السعر</t>
  </si>
  <si>
    <t>قالي ان المشروع خلص و كلمني لو فيه حاجة جديدة هقولك</t>
  </si>
  <si>
    <t>مستشفى العرب</t>
  </si>
  <si>
    <t xml:space="preserve">ده مدير المشتريات من شركة first fix المشروع ده كان اسمه مستشفى العرب و للاسف ملحقناش نخشه خالص و الموضوع خلص كده و مستنيين مشروع تاني </t>
  </si>
  <si>
    <t>كان بيسألني خلصت التعديلات ولا لا و قولتله اول ما اخلص هبعتلك لان التعديلات محتاجه وقت و قالي انه محتاج السعر الاخير عشان نعرف ايه الجديد</t>
  </si>
  <si>
    <t>كلمته بسأله شاف البروفايل بتاعنا ولا لا و قالي لسة و اتفقت معاه اني الاسبوع الجي اجي ازوره في المكتب عشان ننجز الموضوع ده و نخش معاهم في موطن مسار</t>
  </si>
  <si>
    <t xml:space="preserve">بعتلي مشروع القضية في الرياض بس بعت اللينك بايظ و قولتله و مستني منه اللينك الجديد و كمان عاوز اشوف هل هو فيه جديد في مشروع مسار مول </t>
  </si>
  <si>
    <t>Develope the website application for Al-Salama Hospital</t>
  </si>
  <si>
    <t>سألتها على تفاصيل الكوتيشن</t>
  </si>
  <si>
    <t xml:space="preserve">حددت معاه ميتنج الاربع </t>
  </si>
  <si>
    <t>مستني منه التسعير و كنت بكلمه عشان اشوف وصل لفين</t>
  </si>
  <si>
    <t>بعتلي الكوتيشن اخيرا و اتفقت معاه على كامل البارتنر كامله عشان نقدر نظبط الدنيا سوا اكتر في الاسعار في ال PLC - Sacada - GRMS - Lighting Control</t>
  </si>
  <si>
    <t>بحاول اعرف اقصى ديسكاونت نقدر نوصله قد ايه من خلالهم</t>
  </si>
  <si>
    <t xml:space="preserve">كلمتها عشان لو عاوزها ميتال هيختلف قد ايه </t>
  </si>
  <si>
    <t>بظبط معاه ميتنج مع العميل نفسه عشان نخش في اخر حاجة سوا و نخلص المشروع</t>
  </si>
  <si>
    <t>طلب مني اخر تعديل في السوفتوير</t>
  </si>
  <si>
    <t>Bab Al Khair</t>
  </si>
  <si>
    <t>كلمته تاني عشان ابعتله الفاير و البابلك ادريس</t>
  </si>
  <si>
    <t>بعرف هل ممكن منبعتش الحاجات الي طلبها دي ولا محتاجها ضروري قالي انه لا و خلاص هو بعت عرضين السعر و مستني الجديد</t>
  </si>
  <si>
    <t>بشوف اخر ابديت لعرض السعر وصل لفين</t>
  </si>
  <si>
    <t>Preparing the Final Softwate for Al-Salama Hospital</t>
  </si>
  <si>
    <t>fill Follow up Sheet and update notes on the projects</t>
  </si>
  <si>
    <t>بتابع معاه عشان مفيش ابديت عن الاسعار و مستنيين الكوتيشن لما تطلع هنروح بقا نقابله السبت او الاحد بالكتير</t>
  </si>
  <si>
    <t>بساله لو فيه ابديت عن المشروع بس لسة برضه مفيش جديد غالبا هيكون بعد العيد</t>
  </si>
  <si>
    <t>Zedca</t>
  </si>
  <si>
    <t xml:space="preserve">لسة مخدوش المشروع مفيش جديد عنه </t>
  </si>
  <si>
    <t>بسأله على المشاريع الجديدة لو فيه حد بعتله و بتابع معاه</t>
  </si>
  <si>
    <t>Oxagon NEOM</t>
  </si>
  <si>
    <t xml:space="preserve">عاوز السعر بتاع التصليح و هبعتهوله بكرة </t>
  </si>
  <si>
    <t xml:space="preserve">روحت عشان اظبط الدنيا هناك في موضوع الفلوس المتأخره و حاليا انا مستني ابعتلهم الفاتروة الضريبية و الدليفري نوت كامله بالابضاعه كلها و كمان هاخد منهم الفلوس اول ما الحاجة تكون كاملة عندي و بعدها هروح اركب و هاخد ال 60 الف مش هنخصمهم بتوع التركيب و كمان الريتنشن هاخده بطريقة كده ليها علاقة بال license </t>
  </si>
  <si>
    <t>ابحر الجنوبية</t>
  </si>
  <si>
    <t xml:space="preserve">بكلمه عشان اعرف ايه اخر الاخبار و المفروض هنروح ميتنج على الساعة 1 عشان الكوتيشن هتطلع الساعة 12 </t>
  </si>
  <si>
    <t xml:space="preserve">بكلم شباب المكتب عشان نعرف نخلص الكوتيشن و بسيرش عن الفيندورز الي نقدر نتعامل معاهم و بكلم شنايدر عشان اعرف نسبة الخصم هتكون كام </t>
  </si>
  <si>
    <t>دخلت الميتنج من غير الكوتيشن عشان مفيش اي حاجة كانت طلعت وقتها و طلبوا مننا Wiring Devices - Door Locks - Disabled Toilets كمان المفروض نعمل حسابهم في الكوتيشن و عاوز هو يضيف ال First &amp; Second fix معانا في السكوب</t>
  </si>
  <si>
    <t>بتابع معاه عشان اشوف المشاريع الجديدة و المهمه نشتغلها سوا و  قالي نتقابل بكره على الساعه 2</t>
  </si>
  <si>
    <t xml:space="preserve">Day off </t>
  </si>
  <si>
    <t>Prepare for meeting</t>
  </si>
  <si>
    <t>Site Survey with Qabos</t>
  </si>
  <si>
    <t>Follow up new projects and explaining of GRMS components</t>
  </si>
  <si>
    <t>بعمل حصر لكل شركات المقاولات المشتركة في مشروع مسار مكة</t>
  </si>
  <si>
    <t>مركز مكة الطبي بعرض عليهم اننا نشتغل معاهم و خدت رقم مهندس محمد هناك ده المسؤول عن الصيانة و قالي ان فيه غرف كتيرة محتاجة اننا نعدل عليها و كمان فيه غرف جديدة محتاجلها سيستمز كاملة</t>
  </si>
  <si>
    <t>لفيت في مكة على المشاريع بس مكانش فيه حد شغال فالمشاريع عند منطقة التنعيم</t>
  </si>
  <si>
    <t>Wiring Devices Rosemond Hotel</t>
  </si>
  <si>
    <t>Water Plant Project</t>
  </si>
  <si>
    <t>محتاج خصم على المشروع و قولت لعبدالرحمن عليه و قالي انه هيتابع هو معاه</t>
  </si>
  <si>
    <t>كنت بكلمها على ال Wiring Devices الخاصة بيهم و مستني ردها لسة</t>
  </si>
  <si>
    <t>السعودي الالماني</t>
  </si>
  <si>
    <t xml:space="preserve">Follow up new Card Reader Request </t>
  </si>
  <si>
    <t>Follow up Rosemond Hotel</t>
  </si>
  <si>
    <t>مستشفى السعودي الالماني مكة</t>
  </si>
  <si>
    <t xml:space="preserve">مستشفى الاهلي السعودي بمكة </t>
  </si>
  <si>
    <t>JABAL OMAR HOTEL</t>
  </si>
  <si>
    <t>Follow up if there's new projects</t>
  </si>
  <si>
    <t>He moved to Al-Fanar Co. in Riyadh</t>
  </si>
  <si>
    <t>He asked for the company profile and the announcement system video</t>
  </si>
  <si>
    <t>Adjust the quotation for the final result</t>
  </si>
  <si>
    <t>Trying to reach Roaa Al-Haram Co. and Printing the Map for the new plan</t>
  </si>
  <si>
    <t>Checking if there's any new RFQ for the hospital</t>
  </si>
  <si>
    <t>Follow up the existing projects</t>
  </si>
  <si>
    <t>PO delivery update</t>
  </si>
  <si>
    <t>Follow up new projects</t>
  </si>
  <si>
    <t>Rosemond Hotel Area</t>
  </si>
  <si>
    <t>South Obhur Seven Project</t>
  </si>
  <si>
    <t>Asking for the feedback of the sent quotation</t>
  </si>
  <si>
    <t>PO Update</t>
  </si>
  <si>
    <t xml:space="preserve">Checking if there's any new projects upcoming </t>
  </si>
  <si>
    <t>V-yard Checking the last update there</t>
  </si>
  <si>
    <t xml:space="preserve">Tramp Plaza Scrapping </t>
  </si>
  <si>
    <t xml:space="preserve">King Abdulaziz Scrapping </t>
  </si>
  <si>
    <t xml:space="preserve">كلمته تاني عشان يبعت المشروع </t>
  </si>
  <si>
    <t xml:space="preserve">كلمته و  بشمهندس عبدالله و اتفقنا الحاجة هتتورد يوم السبت القادم ان شاء الله </t>
  </si>
  <si>
    <t xml:space="preserve">بعتناله السعر الاخير الحمد لله و الي هو 33 الف و هيرد عليا بكرة بإذا كان السعر محتاج تعدل ام لا و بعد كده هيبعته للإدارة عنده </t>
  </si>
  <si>
    <t>قالي كلمني بكره عشان ادخلكم الشركة تبقوا موردين</t>
  </si>
  <si>
    <t>قالي ان فيه حد من المهندسين هيكلمني بكرة عشان نروح نعمل معاينه و نعرف احنا محتاجين ايه من هناك</t>
  </si>
  <si>
    <t>GRC Villa</t>
  </si>
  <si>
    <t xml:space="preserve">كنت بعمل فولو اب و الراجل طلع خد مشروع كمان في الطائف و دي قاعدة عسكرية بس لسة مفيهاش اي تفاصيل بعتلي ال BOQ و الكراسة بس و محتاج هو ال UPS و ال BMS بس ال BMS مش هنعرف نسعره مفيش مكيانيكا اتوردت ولا اتركبت لسة لحد دلوقتي </t>
  </si>
  <si>
    <t>بعت ميل تعريفي كده عشان نتعاون مع بعض لان الناس دي معظمها اجازة عشان انهاردة السبت ف كلمتهم ميلات فقط</t>
  </si>
  <si>
    <t>call</t>
  </si>
  <si>
    <t>Novotel Makkah</t>
  </si>
  <si>
    <t>روحت الموقع بس مكانش فيه اي حاجة هناك شغاله او هتشتغل حتى من SCAVO شارع ابراهيم الخليل</t>
  </si>
  <si>
    <t>Jabal Al Sharashif Development</t>
  </si>
  <si>
    <t>مفيش ابديت هناك المكان اصلا فاضي خالص</t>
  </si>
  <si>
    <t xml:space="preserve">مفيش مشاريع فالوقت الحالي هناك </t>
  </si>
  <si>
    <t>Park Prime Hotel</t>
  </si>
  <si>
    <t>قالولي روح Park Royal هناك التيم بتاع المهندسين و ان ده فرع ثانوي</t>
  </si>
  <si>
    <t>فندق الايام ايليت 1</t>
  </si>
  <si>
    <t xml:space="preserve">روحت هناك لقيت فعلا فيه تجديدات بس مفيش حد من المهندسين و محتاج اروح هناك تاني عشان ده فندق كبير جدا </t>
  </si>
  <si>
    <t>فندق الايام ايليت 3/4</t>
  </si>
  <si>
    <t>رجعت بعتله الي هو عاوزه عشان يبعتلي ال RFQ بسرعة</t>
  </si>
  <si>
    <t xml:space="preserve">Filling the Excel Sheet and Follow up the other what's app messages </t>
  </si>
  <si>
    <t>مبنى الهيئة</t>
  </si>
  <si>
    <t xml:space="preserve">عاوزين يجددوا نظام ال PA عندهم في المبنى و خدت كل المعلومات و شغالين على المشروع دلوقتي </t>
  </si>
  <si>
    <t>Voco Hotel</t>
  </si>
  <si>
    <t>كنت باخد منه رسومات الشوب بتاعت الميكانيكا و بشوفه محتاج ايه بالظبط في المشروع</t>
  </si>
  <si>
    <t>كلمته عشان اعرف هو ليه مش بيردوا عليا و خدت منه رقم مدير المشتريات عندهم</t>
  </si>
  <si>
    <t xml:space="preserve">16 cold call </t>
  </si>
  <si>
    <t>Alayuni</t>
  </si>
  <si>
    <t xml:space="preserve">كن عارفنا و قالي ابعتولي ال Company Profile و انا هبعته للتيم بتاعي لو فيه حاجة </t>
  </si>
  <si>
    <t xml:space="preserve">كلمته عشان يوسف مكانش بيرد عليا و قالي ان مفيش مشاريع معاهم حاليا غير باب الخير الي اصلا واقفة لسة عشان البادجت بقت عالية </t>
  </si>
  <si>
    <t xml:space="preserve">بملى فيه الشيت و كنت بظبط البلان تاني لليوم الي بعدها </t>
  </si>
  <si>
    <t>LEVELS CO.</t>
  </si>
  <si>
    <t xml:space="preserve">مفيش مشاريع فالوقت الحالي بس بعتله ال Company Profile </t>
  </si>
  <si>
    <t xml:space="preserve">بعتلنا مشروع جديد ف كنت بكلمه عشان اساله عليه و هل المشروع ده تندر ولا ان هاند </t>
  </si>
  <si>
    <t xml:space="preserve">قالي ان مستشفر باب الخير لسة موقفينها بسبب السعر بقا عالي عليهم و ده مشروع خيري ف لسه بيعدلوا الديزاين تاني و هيبعتولنا الفيرجن الجديدة لما تخلص </t>
  </si>
  <si>
    <t>كلمته عشان مازن مش بيرد من هناك و قولت اخد منه رقم حد تاني احتياطي</t>
  </si>
  <si>
    <t>King Abdulaziz Road Masar Dyar Al-Haram</t>
  </si>
  <si>
    <t>روحت هناك بس مفيش حاجة تقريبا في المكان بس انا متأكد ان اللوكيشن على سكافو غلط</t>
  </si>
  <si>
    <t>Dahiyat Makkah Gate - Al Bayt</t>
  </si>
  <si>
    <t>Thakher City - Makkah</t>
  </si>
  <si>
    <t xml:space="preserve">هروحلها تاني بركة عشان اللوكيشن كان جايبني غلط برضه </t>
  </si>
  <si>
    <t xml:space="preserve">كنت في محبس الجن بعد ذاخر و روحت عليه و قالولي ان الادارة في العزيزية </t>
  </si>
  <si>
    <t>روح الادارة في العزيزية بتاعت فندق واحة الرفاع</t>
  </si>
  <si>
    <t>فندق برج الخير</t>
  </si>
  <si>
    <t xml:space="preserve">مفيش عندهم صيانه </t>
  </si>
  <si>
    <t>فندق جوار المشاعر</t>
  </si>
  <si>
    <t xml:space="preserve">خدت رقم مسؤول الصيانة هناك احمد حجازي و بكلمه على الواتساب </t>
  </si>
  <si>
    <t>قعدت اسيرش تاني على المشاريع الي مش موجودة دي و غيرت البلان من تاني و كنت بتابع الواتساب و الميل</t>
  </si>
  <si>
    <t>بسأله على حاجات في المشروع</t>
  </si>
  <si>
    <t>كنت بطلب منه الميل الاخير الي هيبعتوا فيه الشوب عشان مهندس سليم مبعتش</t>
  </si>
  <si>
    <t>مشروع انشاء مبنى فندقي تتطوير ارض الحرمين 3</t>
  </si>
  <si>
    <t>Visit from Cold Call</t>
  </si>
  <si>
    <t>مشروع انشاء مبنى فندقي ( فندق رواق البيت )</t>
  </si>
  <si>
    <t>Hilton Garden Inn Thakher</t>
  </si>
  <si>
    <t>المشروع خلصان و الي خد المشروع شركة اسمها Tera و دي بتخش مشاريع هيلتون دايما و الي بيدخلها معاه Mobco</t>
  </si>
  <si>
    <t xml:space="preserve">المشروع on hold مفيهوش حد خالص هناك ولا حاجة ف قولت هبقى اعدي عليه من وقت للتاني لحد ما اعرف انهم اشتغلوا تاني </t>
  </si>
  <si>
    <t>Radison Thakher</t>
  </si>
  <si>
    <t xml:space="preserve">دخلت اسال عشان كان فيه عمال هناك بس الي عرفته ان الفندق لسة جديد </t>
  </si>
  <si>
    <t xml:space="preserve">براجع الايميلات و بشوف ارقام الناس الي خدتها دي كلمت مين و لسة مكلمتش مين </t>
  </si>
  <si>
    <t xml:space="preserve">المشروع كان فاضي تماما و مفيهوش حد خالص </t>
  </si>
  <si>
    <t>موقع اصلا ولا حاجة جنبه</t>
  </si>
  <si>
    <t>المشروع ده كبير جدا بس معموله Hold مفيش حد فالسايت خالص</t>
  </si>
  <si>
    <t>Shada Hotels</t>
  </si>
  <si>
    <t>Alrajgi Capital</t>
  </si>
  <si>
    <t>Mawten Massar</t>
  </si>
  <si>
    <t>كلمته الصبح عشان ااكد معاه الميعاد الي بينا و قالي قابلني على الساعة 2</t>
  </si>
  <si>
    <t xml:space="preserve">كنت بهندله عشان الكوتيشن اتاخرت عليه </t>
  </si>
  <si>
    <t>فيه سوء تفاهم حاصل بين التيم بتاعنا و بين المهندس سليم ف كنت بتفق معاه على ميتنج يوم الاثنين</t>
  </si>
  <si>
    <t xml:space="preserve">كنت بتابع معاه السعر بتاعنا و قالي انه عالي و بحاول اجيبله Discount </t>
  </si>
  <si>
    <t xml:space="preserve">روحت على الموقع عشان اقابله و قالي بالنسبة لموطن مسار ان المشروع خلاص مخلصين مع ال System integrators من اول شهر 12 تقريبا و انه هيدخلنا معاهم في مشروع تاني و هو ال Diar Al- Haram و محتاج مننا Company Profile توضح المشاريع ال High Rise Buildings  الي اشتغلناها </t>
  </si>
  <si>
    <t>لفيت على الفنادق الي جنب  اللوكيشن - بارك الياس - حامد سليمان الاحمدي</t>
  </si>
  <si>
    <t xml:space="preserve">Filling sheet and follow up with projects </t>
  </si>
  <si>
    <t>كنت بكلمه عشان باخد منه نواقص المشروع</t>
  </si>
  <si>
    <t>كان فيه ميتنج بينا بس قالي انه مش موجود و كنت بسأله على مشروع شركة المصباح</t>
  </si>
  <si>
    <t>الراجحي المالي</t>
  </si>
  <si>
    <t xml:space="preserve">كنت بسأله هل فيه امكانيه نخش المشروع ولا خلاص راح علينا قالي ان فيه شركة اسمها Takeleap هي الي خدت المشروع و انها اصلا شركة من شركات Temco </t>
  </si>
  <si>
    <t xml:space="preserve">مشروع فيلات بس و المشرف بس الي كان هناك </t>
  </si>
  <si>
    <t>سيبت الكارت بتاعي هناك و خدت رقم المشرف و هتابع معاه</t>
  </si>
  <si>
    <t>ابراج مكة نخبة سعد</t>
  </si>
  <si>
    <t>المهندس حامد ده المسؤول عن المشتريات للموقع بالكامل الموقع ده بيتجدد بالكامل شايلين كل حاجة و هم 3 ابراج جنب بعض</t>
  </si>
  <si>
    <t>مشروع التيسر</t>
  </si>
  <si>
    <t>المشروع ده مهم جدا بيقفل خلاص و حسن زينو هيبعتلي سعر كويس لل EMS و مستنيين باقي السيستم بتاع ال PA من ميار</t>
  </si>
  <si>
    <t>ببص على المشاريع الي جيبتها و بجهز الداتا بتاعتها في الشيت</t>
  </si>
  <si>
    <t>المشروع اشتغل تاني بس مهندس ال MEP و المشتريات لسة مجوش و مستنيين انهم ييجوا الاسبوع الجي</t>
  </si>
  <si>
    <t>جالنا المشروع و بعته عشان نسعره</t>
  </si>
  <si>
    <t>Bank Issues</t>
  </si>
  <si>
    <t>كان عندي مشاكل في البنك و الراتب كان مقفول عليه روحت عشان احل الموضوع معاهم</t>
  </si>
  <si>
    <t xml:space="preserve">ده من ماريوت و طلع عارف مهندس عماد و هيبعتلنا عشان نسعر GRMS يوم الاربع </t>
  </si>
  <si>
    <t>Follow up the clients</t>
  </si>
  <si>
    <t>مستشفى قوى الامن العام</t>
  </si>
  <si>
    <t>روحت و حاليا هم شغالين مع شركات اخرى و قالي سيبلنا الكارت لو اختلفنا معاهم او حاجة هنكلمك</t>
  </si>
  <si>
    <t>مكتب مؤوية الطائف العقارية</t>
  </si>
  <si>
    <t xml:space="preserve">مفيش تيم مهندسين هناك الفنادق مفيهاش صيانة في الوقت الحالي </t>
  </si>
  <si>
    <t>فندق ارامسا</t>
  </si>
  <si>
    <t xml:space="preserve">مفيهوش صيانة في الوقت الحالي سيبت للريسيبشن الكارت عشان قالي ممنوع اديك رقم حد حاليا </t>
  </si>
  <si>
    <t>فندق ميليدون</t>
  </si>
  <si>
    <t xml:space="preserve">ده فندق قائم بس فيه تجديدا و On Hold حاليا بس شغالين في المحلات الي تحتيه </t>
  </si>
  <si>
    <t>عيادات مكة بارك</t>
  </si>
  <si>
    <t>Orinsis Kitchen</t>
  </si>
  <si>
    <t>لسة في مرحلة الحفر و هروح تاني كمان شهر</t>
  </si>
  <si>
    <t xml:space="preserve">Global English School </t>
  </si>
  <si>
    <t>On Hold بس هم في المرحلة الي احنا محتاجينها مخلصين معماري و المفروض الكهرباء هي الي هتخش بعدها</t>
  </si>
  <si>
    <t>فندق براديس لاند</t>
  </si>
  <si>
    <t xml:space="preserve">الادارة بتاعته جنبنا في النزهه خلصت و روحتلهم بس مكانوش محتاجين حاجة في الوقت الحالي </t>
  </si>
  <si>
    <t>الي ماسك الصيانة هناك هي شركة زهران مفيش شركات تانيه موجودة و مش محتاجين حاجة هناك حاليا و انا عاوز اوصل لشركة زهران دي عشان اخد منها شغل</t>
  </si>
  <si>
    <t>BTAM - Nupco</t>
  </si>
  <si>
    <t>جالنا المشروع ده من BTAM محتاجين يسعروه في اقرب وقت عشان نكمل معاهم بيجيبوا مشاريع كتير في العموم</t>
  </si>
  <si>
    <t xml:space="preserve">Voco Hotel Meeting </t>
  </si>
  <si>
    <t xml:space="preserve">اتفقنا اننا هناخد كل الانظمة الباقية و نبدأ نعملهم الباكدج الجديدة بالكامل و هنشتغل معاهم كمان Design و Shop-Drawings </t>
  </si>
  <si>
    <t>Sending RFQ email</t>
  </si>
  <si>
    <t>العطير العقارية مشروع مباني سكنية كومباوند</t>
  </si>
  <si>
    <t>مشروع سكني ضخم بس المهندس مكانش موجود و كلمته و لسة مردش عليا هكلمه تاني و هتابع معاه</t>
  </si>
  <si>
    <t>مبنى اداري تجاري في ابحر الشماليه تبع شركة BAK للمقاولات</t>
  </si>
  <si>
    <t xml:space="preserve">المشروع شغال بس مكانش فيه حد من المهندسين مهندس المشروع بيروح السايت من اول الساعة 4 بس قبل كده مفيش حد </t>
  </si>
  <si>
    <t>شاهر بن واصل الدعدي مبنى اداري</t>
  </si>
  <si>
    <t>Sport Plex Shop</t>
  </si>
  <si>
    <t>B Hotel</t>
  </si>
  <si>
    <t>الفندق خلصان اصلا و لسة جديد</t>
  </si>
  <si>
    <t>Tribute Portfolio Hotel - Obhur</t>
  </si>
  <si>
    <t>المشروع مش موجود لفيت كتير جدا حول المكان مش لاقيه هو تحديدا بس لقيت مشاريع تانيه و روحت عليها</t>
  </si>
  <si>
    <t>Somou Tower</t>
  </si>
  <si>
    <t>اللوكيشن الي محطوط من سكافو كان غلط و معرفتش اوصله بس سألت عليه و عرفت مكانه و هروحله الخميس او السبت</t>
  </si>
  <si>
    <t>فندق فيفيان الششة</t>
  </si>
  <si>
    <t xml:space="preserve">مكانش فيه حد هناك </t>
  </si>
  <si>
    <t xml:space="preserve">Safwat Al Mashaer hotel </t>
  </si>
  <si>
    <t>SOHO</t>
  </si>
  <si>
    <t>Trump Tower</t>
  </si>
  <si>
    <t xml:space="preserve">المقاول العام هو شركة ACC و مدير المشروع اسمه محمد فارق معرفتش اخش الموقع و بحاول اوصل للناس بتوع المشتريات جوه </t>
  </si>
  <si>
    <t xml:space="preserve">Cold Calls with purshasing engineers </t>
  </si>
  <si>
    <t xml:space="preserve">follow up </t>
  </si>
  <si>
    <t>Adjusting the excel sheet dashboard</t>
  </si>
  <si>
    <t xml:space="preserve">Following up issues with technical office </t>
  </si>
  <si>
    <t>Hilton Tayser</t>
  </si>
  <si>
    <t xml:space="preserve">روحت قعدت معاهم و عرفت ان فعلا التشغيل بتاع الفندق هيلتون و شاف الكوتيشن و حددلي ميعاد مع محمد التهامي مدير المشروع بكرة و قالي تعالى معاه و اتكلم في السعر و اتناقش معاه افضل </t>
  </si>
  <si>
    <t>نخبة سعد ابراج مكة</t>
  </si>
  <si>
    <t>ابراج مكة الي جنب مشروع هيلتون روحت المكتب بتاع الشركة المنفذة و قعدت مع المهندس الي هناك و خدت منه رقم مهندس اواب الي معاه الباكدج بتاعت المشروع كلمته بس لسة مردش</t>
  </si>
  <si>
    <t>النسيم ايليت</t>
  </si>
  <si>
    <t>قالي ان المشروع هولد حاليا و بعتله البروفايل بتاع الشركة بتاعتنا بتابع معاه</t>
  </si>
  <si>
    <t>Follow up with clients</t>
  </si>
  <si>
    <t xml:space="preserve">كنت مستني الميتنج بتاع التيسير بس لغاه لان مدير المشروع محمد التهامي مجاش ف قالي هتتأجل للاسبوع الجي </t>
  </si>
  <si>
    <t>مشروع انشاء مبنى مستشفى رعاية ممتدة شارع فلسطين</t>
  </si>
  <si>
    <t xml:space="preserve">روحت للمشروع بس الي عرفته ان الناس في المشروع ده بيشتغلوا من بعد العصر بس رجعتلهم تاني و خدت رقم المهندس احمد ابو المعاطي و المهندس محمود المتحده للمقاولات بس محدش فيهم رد لسة </t>
  </si>
  <si>
    <t>فندق الحمراء 3    فندق الحمراء 2</t>
  </si>
  <si>
    <t xml:space="preserve">كلمت شركة المقاولات الريادة الخليجية للمقاولات بعتله البروفايل و بتابعه </t>
  </si>
  <si>
    <t>Cold Calling</t>
  </si>
  <si>
    <t xml:space="preserve">روحت المشروع و خدت الداتا الي هو محتاجها و هسعرهاله و هيبعتلي هو الكوتيشن الي جاتله عشان اديله سعر اقل منها </t>
  </si>
  <si>
    <t>Hassan Zino Meeting</t>
  </si>
  <si>
    <t xml:space="preserve">قالي على شوية مشاريع في مكة اشتغل عليها </t>
  </si>
  <si>
    <t xml:space="preserve">مكانش فيه شركة ده كان مشروع مبنى سكني و مكانش فيه حد هناك خالص </t>
  </si>
  <si>
    <t>الشركة كانت اجازة في اليوم ده مكانش فيه غير موظفين استقبال فقط</t>
  </si>
  <si>
    <t>كانت قافله اليوم ده الاحسن مروحش خالص لاي شركة يوم السبت</t>
  </si>
  <si>
    <t xml:space="preserve">قابلت مهندس شريف هناك التايتل بتاعه مدير المشتريات و قالي ان في الوقت الحالي كل المشاريع الموجودة بتتسلم و ان بالنسبة لمشروع العطير انه مفيهوش يعتبر تيار خفيف و كمان هم اصلا ممضوش العقد لسة و قالي اتابع مع مهندس ده مدير المكتب الفني اسمه محمد رمضان و بحاول اجيب رقمه </t>
  </si>
  <si>
    <t xml:space="preserve">ده طلع لوكيشن للسايت و مكانش لينا فرصه نخش المشروع كان Hilton </t>
  </si>
  <si>
    <t>روحت حاولت اقابل حد كان لازم ب ميتنج بس فيه مهندس سامح صابر قابلني سريعا كده و قالي ان في الوقت الحالي مفيش اي مشاريع جديدة و ان اول ما يكون فيه مشاريع هيبعتلنا و قالي ابعتلي ال CP في الميل على الميل ده Sameh.Saber@fsa.com.sa</t>
  </si>
  <si>
    <t xml:space="preserve">عرفت ان مشروع البوليفارد ده Join Venture مع شركة SATCO و ان الشركة التانية دي معاهم مشاريع On Hand في الدرعية و ان شركة IHCC ليها sister comapny اسمها MEGA MIND و دي بتاخد كل مشاريع الجامعات و المستشفيات بس معندهمش BMS , Nurse Call , PA, AV بس ال BMS مش بيروحلها ده بيطلع من الشركة نفسها من قسم الميكانيكا بس مكانش فيه حدا هناك اقابله وقتها </t>
  </si>
  <si>
    <t xml:space="preserve">عاوزين نظبط السعر بحيث يكون في رينج 27 الى 28 و نظبط سعر البي سي الي موجود كمان و نبعت باقي الاوراق بالكامل عشان نكمل على طول </t>
  </si>
  <si>
    <t>مشروع تجاري مازن السويح</t>
  </si>
  <si>
    <t>اجياد</t>
  </si>
  <si>
    <t>لفيت عشان اخش الطريق اكثر من مره بس للاسف مكانش فيه فرصه خالص اني اخش الطرق كلها مقفوله و صعب جدا اني اركن هناك هكرر اليوم ده تاني خلال الاسبوع</t>
  </si>
  <si>
    <t>اشتغلت على الفيديو بتاع الايفنت</t>
  </si>
  <si>
    <t>مشروع مبنى سكني فندقي شركة البدري</t>
  </si>
  <si>
    <t>مشروع فندقي لمطور مكيون</t>
  </si>
  <si>
    <t xml:space="preserve">المشروع خلص مع شركة تانية و مفيش مشروع حاليا تاني </t>
  </si>
  <si>
    <t xml:space="preserve">عاوز عقد صيانة للممكتب بالكامل على الكاميرات فقط </t>
  </si>
  <si>
    <t>Hilton Graden inn Tayser</t>
  </si>
  <si>
    <t xml:space="preserve">محتاجين نسعر ال BOQ بالكامل عشان نقدر نقعد مه مهندس محمد التهامي  و قالي انه Hilton Garden inn ف نشتغل على ال vendor list بتاعتها </t>
  </si>
  <si>
    <t>احمد طالب ده مش بيجي يوم السبت بيجي كل يوم الا السبت ف هروحله تاني يوم الاثنين</t>
  </si>
  <si>
    <t>الشركات الي بتسععر معاه التيندر بيكون ليها اولوية في كل المشاريع التانية و مشروع مسار الباكدج بتاعته هتكون موجودة مع المشتريات من اول يوم 1-9 عشان هم حاليا في مرحلة مراجعه العقد مع ام القرى و خدت رقم المشتريات احمد شاهين عشان مكانش موجود لما روحت كان واخد اجازة</t>
  </si>
  <si>
    <t xml:space="preserve">مش بيجوا السبت مع انهم كاتبين على جوجل انهم شغالين كل يوم عادي </t>
  </si>
  <si>
    <t>انشاء محطة وقود لشركة التنمية بشارع ساري</t>
  </si>
  <si>
    <t>خدت رقم المهندس المسؤول و قعدت معاه عندهم باكدج صغيرة من التيار الخفيف و محتاجين كابلات و عرفتهم اننا سعرنا كويس جدا في كابلات الفايبر و الداتا</t>
  </si>
  <si>
    <t>Hotel Apartments</t>
  </si>
  <si>
    <t xml:space="preserve">Clients Follow up </t>
  </si>
  <si>
    <t>Pre sales meeting</t>
  </si>
  <si>
    <t xml:space="preserve">عملنا ميتنج كل يوم أحد بنتابع فيه المشاريع كلها و اخر ابديت لكل مشروع ايه </t>
  </si>
  <si>
    <t>انشاء مول تجاري ( مجهول الاسم )</t>
  </si>
  <si>
    <t>https://maps.app.goo.gl/tVkMW7EZzjEeALHT9    -   مشروع مول كبير لسة تحت الانشاء مش مكتوب عليه اسمه و مفيش مقاول كهرباء لسة في الموقع</t>
  </si>
  <si>
    <t>مشروع الخليل بلازا</t>
  </si>
  <si>
    <t xml:space="preserve">https://maps.app.goo.gl/xX26BxSKniyi9wp69 - مشروع بطول الطريق بس لسة في مرحلة صب الاساسات و مفيش مقاول كهراب موجود في الموقع </t>
  </si>
  <si>
    <t>الكعكية و الشوقية Hunting</t>
  </si>
  <si>
    <t xml:space="preserve">باقي مشاريع المكان Residential فقط عمارة سكنية </t>
  </si>
  <si>
    <t>Tahliyah Business Park</t>
  </si>
  <si>
    <t>Shatri Tower</t>
  </si>
  <si>
    <t>المشروع لسة مفيهوش MEP Contractor لسة بس المطور الي شغال عليه و المعماري</t>
  </si>
  <si>
    <t>Steel Structure Jeddah Makkah</t>
  </si>
  <si>
    <t>المقاول اسمه المدائن العالية و المهندس المسؤول عن الموقع مش بيجي بقاله شهر و موقفين شغل في الوقت الحالي في المشروع المهندس اسمه محمد عبدالله</t>
  </si>
  <si>
    <t>حامد الهرساني ميتنج الاسبوع الجي يوم الاربع او الخميس هو المهندس جي الاسبوع الجي</t>
  </si>
  <si>
    <t>Meeting With AL - Wareef Contracting لمشروع رابطة العالم الاسلامي</t>
  </si>
  <si>
    <t>طلب مننا اكثر من سيستم بس أهمهم انه عاوز ال CCTV و ال  PA بأسرع ما يمكن و طلب كمان ال Passive و بعتلنا ال BMS</t>
  </si>
  <si>
    <t>Miraf One</t>
  </si>
  <si>
    <t xml:space="preserve">عثمان طلع عنده وعكة حية و اداني رقم محمد حافظ قالي المشروع مفيهوش جديد في الوقت الحالي سالته على زيارة عندهم و قالي هظبطلك ميعاد بس لما مهندس عثمان يجي بالسلامة ان شاء الله </t>
  </si>
  <si>
    <t>Mapa for contracting</t>
  </si>
  <si>
    <t xml:space="preserve">عنده مشكله في الكال و بعتناله الكوتيشن بتاعت تليح الكابل بس فيه عنده مشكله في التصاريح و هو سعرنا بالنسباله لقطه بس التصاريح عاوز يشيلهالنا </t>
  </si>
  <si>
    <t>مصنع سرايا السحاب - طريق الليث الفرعي</t>
  </si>
  <si>
    <t>فندق البروج الماسية طريق المسجد الحرام</t>
  </si>
  <si>
    <t>المالك هو الي معاه التوريدات الي هي منها ممثل المالك المهندس ياسر عبدالله من شركة ميثاق انما شركة الحزام معاها مشروع تاني في المدينة فندق  3 نجوم و شغالين عليه لسة في الدول الاول عندي ميتنج معاه بكرة</t>
  </si>
  <si>
    <t>مكة بارك</t>
  </si>
  <si>
    <t>ده المشروع الي مكونتش عارف اسمه الاسبوع الي فات روحت تاني و كان فيه مقاول بيورد حديد هناك عرفت المالك اسمه حمدان عملت سيرش عليه لقيته معقب و صاحب تأشيرات للسعودية كمان معرفش عنه اي حاجة تاني</t>
  </si>
  <si>
    <t>Meeting with WATCOM - METHAQ</t>
  </si>
  <si>
    <t>WATCOM</t>
  </si>
  <si>
    <t>فضلت قاعد معاه و قولتله اني تبع احمد فوزي رحب بيا الراجل جدا و قالي طيب بص انا هبعتلك ال RFQ دلوقتي بس عندي شوية ملحوظات محتاجين نشتغل عليها و قالي ان المشروع ملهوش اي SPECS انت لو احتاجت اي حاجة بس عرفني</t>
  </si>
  <si>
    <t>Pre-Sales Meeting</t>
  </si>
  <si>
    <t>Creet Follow up</t>
  </si>
  <si>
    <t>Al-Badayel Follow up</t>
  </si>
  <si>
    <t>الرابطة الاسلامية Follow up</t>
  </si>
  <si>
    <t>Hoist Group Meeting</t>
  </si>
  <si>
    <t xml:space="preserve">طلعت منه بمعلومات عن هيلتون في العموم وظبطنا اننا نخلص الكوتيشن </t>
  </si>
  <si>
    <t>مستشفى الدكتور عواض البشري</t>
  </si>
  <si>
    <t>المستشفى اتباعت لمجموعة مستشفيات اسمها اكديتال و معاها مستشفى تانية في جده و مستشفى كمان في المدينة و الادارة من المغرب كلمنا هعد و قولناله قالنا هحاول اساعدكم في اني اجيبلكم حد من الادارة و بعت لكريم انه يزورها اول ما يكون معاه العربية</t>
  </si>
  <si>
    <t>Alcatel Meeting</t>
  </si>
  <si>
    <t xml:space="preserve">كان ميتنج بخصوص مشروع هيلتون التيسير و قالنا انه اصلا مش معتمد في المشروع و ان ال BOQ الي جاتلنا دي قديمة و فيه واحدة جديدة شغالين عليها و يقدر يساعدنا بس في ال IP Telephone و المفترض اننا مستنيين بس ال BOQ الجديدة و هيبدأ يشتغل معانا عليها </t>
  </si>
  <si>
    <t>مبنى اداري تجاري - الفيصلية</t>
  </si>
  <si>
    <t xml:space="preserve">قالي المشروع شغال اه بس فيه شركة هي الي ماسكة ال MEP اسمها اماكن و هيحاول يوصلني بيهم انهاردة يوم 2/9/2026 هبعتله ال CP و هيوصلني بحد هناك </t>
  </si>
  <si>
    <t>مبنى سكني تجاري - مشروع كيان 177 شارع حراء جدة</t>
  </si>
  <si>
    <t xml:space="preserve">معمول للمشروع Hold انا بس حاطه هنا عشان افتكره </t>
  </si>
  <si>
    <t>مشروع سكني تجاري - مفاخر شارع حراء جدة</t>
  </si>
  <si>
    <t xml:space="preserve">Albadayel Meeting </t>
  </si>
  <si>
    <t>كنت بتناقش معاه في موضوع سعر ال BMS ده عشان انا عرفت ان السعر هيكون عالي جدا مقارنة بالي هو قايلهولي 750 الف ف قال لابراهيم على نقاط ال io list الي هيشيلها و  الي هو مش محتاج يشوفها عشان نقلل التكلفه و طلب مننا نغير ال ACS الى HIkvision \</t>
  </si>
  <si>
    <t xml:space="preserve">Follow up with the clients </t>
  </si>
  <si>
    <t xml:space="preserve">Searching for EMCO TECH </t>
  </si>
  <si>
    <t xml:space="preserve">انا عملت كل حاجة ممكن تتعمل عشان اول للناس دي وصلت لمدير المشروعات على لينكد ان و بعتله و كلمت محمد عبدالحفيظ و سالته على اللوكيشن و روحت 3 لوكيشن على جوجل مكتوب عليها EMCO ولا واحدة كانت هي و خدت العنوان الي موجود على لينكد ان و ملقيتش اي حاجة برضه -- </t>
  </si>
  <si>
    <t>مبنى اداري تجاري - شارع الملك عبدالعزيز BAK</t>
  </si>
  <si>
    <t>دخلت المشروع و قابلت مدير ال MEP جوه راجل لبناني مرضيش يديني رقمه و قالي انتو ايه حكايتكم ليه بيخشلي 5 ولا 6 تيار خفيف في اليوم سالته على شركة BAK قالي مهندس المشاريع اسمه عبدالحليم و ده بيستقبل زيارات يوم الخميس الساعة 3 في مشروع التحلية بزنس بارك ف هروحله بكره اقعد معاه لعل و عسى اقدر اول لحاجة و كلمت مهندس ميكانيكا من هناك اسمه سيد و قالي هبعتلك اسمه و رقمه و عنوان الشركة ( هندي ) و مبعتليش لسة حاجة و لسة مكمل على الاكونت ده عشان معاهم مشاريع كتير و سألت حسن زينو عليهم</t>
  </si>
  <si>
    <t>وصلت لمعاه لحل اننا هنروح نركب الكاميرات و هناخد فلوسنا بعد شهر بميل رسمي منه هو  عشان نكون عارفين ان فلوسنا هتيجي كده كده و عرفت ان معاهم مشاريع industrial بس معاهم Fanar Warehouse - Almaraie Seafood Factory - SATS Warehouse - مشروع كمان فالدرعية لسنة تندر و قعدت مع مهندس محمد الناطور ده مدير مشتريات كريت بالكامل و ظبطت معاه العلاقة شوية</t>
  </si>
  <si>
    <t>مبنى الادارة الاقليمية لبنك البلاد بجده - طريق الملك عبدالعزيز مع طريق الامام احمد ابن حنبل</t>
  </si>
  <si>
    <t xml:space="preserve">المشروع ده كبير جدا جدا و مع موبكو بس عديت عليه لما كان اليوم خلص نزلت اسال مكانش فيه حد هعدي عليه تاني و هقولك الفيدباك ايه </t>
  </si>
  <si>
    <t xml:space="preserve">ميتنج البدايل اتأجل لبكرة </t>
  </si>
  <si>
    <t>بدؤوا فعلا في الحفر و تكسير الجبال امام نوفوتيل ذاخر</t>
  </si>
  <si>
    <t xml:space="preserve">المهندس الي قابلته هندي قالي انهم حاليا محتاجين مقاول شغال جبسون بورد و بالنسبة لباقي الانظمه مديره هيجي بكره اقدر ازوره مره تاني اتكلم معاه </t>
  </si>
  <si>
    <t xml:space="preserve">روحت هناك و اتكلمت مع مدير الصيانة بيقولي ان الانظمه الي شغالين عليها سيمنز و معندهمش GRMS و الموضوع ده لسة تحت الدراسة في الفندق بالكامل و هكمل تواصل معاه اشوف اخر الاخبار و صورت الارقام بتاعت المكتب بالكامل </t>
  </si>
  <si>
    <t xml:space="preserve">روحت الفندق الي بعد موبكو قالولي لا مش هتعرف تقابلهم و انا نازل روحت للامن و عرفت ان التيم كله بيكون في راديسون فوق جنب نوفوتيل روحت على هناك و عرفت ان المدير اسمه حازم و مش بيجي يوم السبت بيجي يوم الاحد بس هزوره تاني يوم الاحد ان  شاء الله من الساعة ٨ الى ٤ </t>
  </si>
  <si>
    <t xml:space="preserve">فندق الجاد الروضة </t>
  </si>
  <si>
    <t>Mohamed Essa Honeywell Meeting</t>
  </si>
  <si>
    <t xml:space="preserve">المهم الي اتكلمنا فيه غير السعر ان فندق التيسير التوتال بتاعه لازم يكون اقل من 22 مليون و ان اللعب كله هيكون على نسب التست و الكوميشن بتاعت المشروع ده غير كده مش هعرف اخد اي حاجة منه و كمان خدت منه رقم محمد التهامي و فراس مديرين المشروع و ممثلين المالك </t>
  </si>
  <si>
    <t>BAK UNITED</t>
  </si>
  <si>
    <t xml:space="preserve">كنت ببعتله عرض السعر و بتواصل معاه و بعرف منه التارجت برايس بتاعه و لو فيه انظمة تانية و دلوقتي السعر عجبه جدا و قالي تعالى بكرة انت و مديرك و تكون مجهز ال Submittal بتاع الكوتيشن </t>
  </si>
  <si>
    <t>BAK United Submittal Preparing</t>
  </si>
  <si>
    <t>BAK United Meeting with Eng. Omair</t>
  </si>
  <si>
    <t xml:space="preserve">الحمد لله سعرنا كويس بالنسبة ليه جدا و هو خلاص 100% المشروع معايا و مش بس ده لا هيكون باقي مشاريعهم لينا الاولوية اننا نخش معاهم طبعا عشان هنلحقهم في المشروع ده لما يخلص على خير ++ خدت منهم BOQ بتاعت ال Wiring Devices بتاعت المشروع و برضه بسعرهالهم MK و هتطلع يوم الخميس ان شاء الله </t>
  </si>
  <si>
    <t>دي رابع مره اروح المشروع و في كل مره مبيكونش فيه حد غير المشرف بس مش بيرضى يديني رقم لحسن حظي بقا فاليوم ده لقيت سيلز بورسلين جي خدت منه رقم مهندس بلال من الشاطري كلمته و مش بيردددد</t>
  </si>
  <si>
    <t xml:space="preserve">Follow Up Clients </t>
  </si>
  <si>
    <t>Saudi German Hospital - Jeddah</t>
  </si>
  <si>
    <t xml:space="preserve">كملت احمد صادق بكلمه على حاجات باليمو و اداني رقم مهنس محمود قالي انه معاه ال Field Devices بتاعت المشروع فقط و انهم واخدين ال HVAC Reinnovation بس و انهم اصلا بيسعروا باليمو فقط مش هانويل و قالي اني محتاج السعر ضروري و انا بعتها تتسعر </t>
  </si>
  <si>
    <t>فندق الريادة العزيزية جراند</t>
  </si>
  <si>
    <t xml:space="preserve">مفيش حد من التيم موجود فالوقت الحالي عشان يقابلني و هحاول اعدي عليهم تاني </t>
  </si>
  <si>
    <t>فندق السنابل الذهبية للخدمات الفندقية</t>
  </si>
  <si>
    <t>مبنى فندقي - وقف تاج فرج غزاوي - العزيزية الغربية</t>
  </si>
  <si>
    <t>انشاء مبنى الادارة الاقليمية لبنك البلاد بجده</t>
  </si>
  <si>
    <t xml:space="preserve">المشروع خلصان من البنك نفسه هو الي بيجيب الموردين مش شركة موبكو بس اتعرفت على مهندس احمد حافظي و قالي لو فيه سيستم عنده مظبطش هيتواصل معايا و قالي برضه ابعتلي البروفايل عشان لو احتاجني في مشروع تاني غير ده </t>
  </si>
  <si>
    <t>B- Hotel</t>
  </si>
  <si>
    <t xml:space="preserve">المشروع ده مفيش حد فالسايت يقدر ياخد قرار ف قالولي روح على الفرع الرئيسي كلمت محمد يوسف مردش و كلمت zubair طلع هو مشتريال الcivil و اداني رقم محمد نور بس لسة مردش عليا مستنيه يرد عشان احدد معاه ميتنج اروحله ده مشتريات التيار الخفيف </t>
  </si>
  <si>
    <t>Aved White Tower</t>
  </si>
  <si>
    <t xml:space="preserve">انا حاطت المشروع ده عشان افتكره بس عشان ارجعله هو لسة في مرحلة الحفر </t>
  </si>
  <si>
    <t>Albadeel Meeting</t>
  </si>
  <si>
    <t xml:space="preserve">اتكلمت معاه عن الاسعار بتاعتنا و قالي انه محتاج يعدل كتير جدا جدا في الاسعار و محتاج انه يرجع تاني الكوتيشن القديمة في شوية حاجات و يعدل سعر hikvision او نغير البارتنمبر عشان نقدر ننزل عن الطبيعي الي موجود ده و هظبط معاه ميتنج اروح انا و مهندس عمير نقابله و نتكلم في الاسعار في سيستم سيسيتم </t>
  </si>
  <si>
    <t>Type Weekly Plan</t>
  </si>
  <si>
    <t>Consultant Visit</t>
  </si>
  <si>
    <t>Abha</t>
  </si>
  <si>
    <t>Jizan</t>
  </si>
  <si>
    <t>Najran</t>
  </si>
  <si>
    <t>Qassim</t>
  </si>
  <si>
    <t>Rabigh</t>
  </si>
  <si>
    <t>Yanbu</t>
  </si>
  <si>
    <t>Jubail</t>
  </si>
  <si>
    <t>Dhahran</t>
  </si>
  <si>
    <t>Arar</t>
  </si>
  <si>
    <t>Kharj</t>
  </si>
  <si>
    <t>Tabouk</t>
  </si>
  <si>
    <t>Tanajib</t>
  </si>
  <si>
    <t>Al Ahsa</t>
  </si>
  <si>
    <t>Ras Alkhair</t>
  </si>
  <si>
    <t>Alula</t>
  </si>
  <si>
    <t>Qatif</t>
  </si>
  <si>
    <t>Qiddiyah</t>
  </si>
  <si>
    <t>Al Khafji</t>
  </si>
  <si>
    <t>PR</t>
  </si>
  <si>
    <t>Quotation Number</t>
  </si>
  <si>
    <t>Engineer</t>
  </si>
  <si>
    <t>Descreption / Project</t>
  </si>
  <si>
    <t>Amount</t>
  </si>
  <si>
    <t xml:space="preserve">PR-60745 </t>
  </si>
  <si>
    <t>Q2032-726-BMS</t>
  </si>
  <si>
    <t>Omar Hanoun</t>
  </si>
  <si>
    <t>28/7/2026</t>
  </si>
  <si>
    <t xml:space="preserve">V4 Actuated Lug Type Butterfly Valve, Cast Iron, 
PN16, DN350, Modulating, Ductile Iron, 220V AC, 
527x1055x385mm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</si>
</sst>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[$SAR ]#,##0"/>
    <numFmt numFmtId="165" formatCode="\+0"/>
    <numFmt numFmtId="166" formatCode="#,##0&quot; SAR&quot;"/>
    <numFmt numFmtId="167" formatCode="dd\-mmm\-yyyy"/>
    <numFmt numFmtId="168" formatCode="_(* #,##0_);_(* \(#,##0\);_(* &quot;-&quot;??_);_(@_)"/>
    <numFmt numFmtId="169" formatCode="[$SAR]\ #,##0.00"/>
  </numFmts>
  <fonts count="8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3"/>
      <color theme="1"/>
      <name val="Arial"/>
      <scheme val="minor"/>
    </font>
    <font>
      <sz val="10"/>
      <color rgb="FFFF0000"/>
      <name val="Arial"/>
      <scheme val="minor"/>
    </font>
    <font>
      <sz val="12"/>
      <color theme="1"/>
      <name val="Arial"/>
      <scheme val="minor"/>
    </font>
    <font>
      <sz val="12"/>
      <color rgb="FF0563C1"/>
      <name val="ArialMT"/>
    </font>
    <font>
      <sz val="12"/>
      <color rgb="FF000000"/>
      <name val="Arial"/>
    </font>
    <font>
      <sz val="12"/>
      <color rgb="FF000000"/>
      <name val="ArialMT"/>
    </font>
    <font>
      <sz val="10"/>
      <color rgb="FF000000"/>
      <name val="Arial"/>
      <scheme val="minor"/>
    </font>
    <font>
      <sz val="12"/>
      <color rgb="FF000000"/>
      <name val="Calibri"/>
    </font>
    <font>
      <u/>
      <sz val="12"/>
      <color rgb="FF000000"/>
      <name val="Arial"/>
    </font>
    <font>
      <u/>
      <sz val="12"/>
      <color rgb="FF0000FF"/>
      <name val="Arial"/>
    </font>
    <font>
      <u/>
      <sz val="10"/>
      <color rgb="FF0000FF"/>
      <name val="Roboto"/>
    </font>
    <font>
      <sz val="12"/>
      <color rgb="FFFF0000"/>
      <name val="Arial"/>
    </font>
    <font>
      <u/>
      <sz val="10"/>
      <color rgb="FF000000"/>
      <name val="Roboto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8"/>
      <color theme="1"/>
      <name val="Arial"/>
      <charset val="1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0"/>
      <color theme="0"/>
      <name val="Arial"/>
      <scheme val="minor"/>
    </font>
    <font>
      <b/>
      <sz val="18"/>
      <color rgb="FF8B5CF6"/>
      <name val="Arial"/>
      <scheme val="minor"/>
    </font>
    <font>
      <b/>
      <sz val="9"/>
      <color rgb="FFFFFFFF"/>
      <name val="Arial"/>
      <scheme val="minor"/>
    </font>
    <font>
      <b/>
      <sz val="14"/>
      <color rgb="FF1E293B"/>
      <name val="Segoe UI"/>
    </font>
    <font>
      <b/>
      <sz val="10"/>
      <color rgb="FF64748B"/>
      <name val="Arial"/>
      <scheme val="minor"/>
    </font>
    <font>
      <b/>
      <sz val="36"/>
      <color rgb="FF3B82F6"/>
      <name val="Arial"/>
      <scheme val="minor"/>
    </font>
    <font>
      <sz val="9"/>
      <color rgb="FF94A3B8"/>
      <name val="Arial"/>
      <scheme val="minor"/>
    </font>
    <font>
      <b/>
      <sz val="36"/>
      <color rgb="FF10B981"/>
      <name val="Arial"/>
      <scheme val="minor"/>
    </font>
    <font>
      <b/>
      <sz val="36"/>
      <color rgb="FFF59E0B"/>
      <name val="Arial"/>
      <scheme val="minor"/>
    </font>
    <font>
      <b/>
      <sz val="24"/>
      <color rgb="FF8B5CF6"/>
      <name val="Arial"/>
      <scheme val="minor"/>
    </font>
    <font>
      <b/>
      <sz val="36"/>
      <color rgb="FFEF4444"/>
      <name val="Arial"/>
      <scheme val="minor"/>
    </font>
    <font>
      <b/>
      <sz val="36"/>
      <color rgb="FF22C55E"/>
      <name val="Arial"/>
      <scheme val="minor"/>
    </font>
    <font>
      <b/>
      <sz val="36"/>
      <color rgb="FF6B7280"/>
      <name val="Arial"/>
      <scheme val="minor"/>
    </font>
    <font>
      <b/>
      <sz val="36"/>
      <color rgb="FFF97316"/>
      <name val="Arial"/>
      <scheme val="minor"/>
    </font>
    <font>
      <b/>
      <sz val="11"/>
      <color rgb="FF475569"/>
      <name val="Arial"/>
      <scheme val="minor"/>
    </font>
    <font>
      <b/>
      <sz val="10"/>
      <color rgb="FFFFFFFF"/>
      <name val="Arial"/>
      <scheme val="minor"/>
    </font>
    <font>
      <b/>
      <sz val="14"/>
      <color rgb="FFDC2626"/>
      <name val="Segoe UI"/>
    </font>
    <font>
      <b/>
      <sz val="12"/>
      <color rgb="FFFFFFFF"/>
      <name val="Arial"/>
      <scheme val="minor"/>
    </font>
    <font>
      <sz val="10"/>
      <color rgb="FF334155"/>
      <name val="Arial"/>
      <scheme val="minor"/>
    </font>
    <font>
      <b/>
      <sz val="24"/>
      <color rgb="FF10B981"/>
      <name val="Arial"/>
      <scheme val="minor"/>
    </font>
    <font>
      <b/>
      <sz val="24"/>
      <color rgb="FF3B82F6"/>
      <name val="Arial"/>
      <scheme val="minor"/>
    </font>
    <font>
      <b/>
      <sz val="24"/>
      <color rgb="FFEF4444"/>
      <name val="Arial"/>
      <scheme val="minor"/>
    </font>
    <font>
      <sz val="9"/>
      <color rgb="FF64748B"/>
      <name val="Arial"/>
      <scheme val="minor"/>
    </font>
    <font>
      <b/>
      <sz val="14"/>
      <color rgb="FF10B981"/>
      <name val="Arial"/>
      <scheme val="minor"/>
    </font>
    <font>
      <b/>
      <sz val="11"/>
      <color rgb="FF10B981"/>
      <name val="Arial"/>
      <scheme val="minor"/>
    </font>
    <font>
      <b/>
      <sz val="11"/>
      <color rgb="FFF59E0B"/>
      <name val="Arial"/>
      <scheme val="minor"/>
    </font>
    <font>
      <sz val="48"/>
      <color theme="0"/>
      <name val="Arial"/>
      <scheme val="minor"/>
    </font>
    <font>
      <b/>
      <sz val="48"/>
      <color theme="0"/>
      <name val="Segoe UI"/>
    </font>
    <font>
      <sz val="48"/>
      <color theme="0"/>
      <name val="Segoe UI"/>
    </font>
    <font>
      <sz val="16"/>
      <color rgb="FF6C9CD0"/>
      <name val="Arial"/>
      <scheme val="minor"/>
    </font>
    <font>
      <b/>
      <sz val="26"/>
      <color rgb="FFFFFFFF"/>
      <name val="Arial"/>
      <scheme val="minor"/>
    </font>
    <font>
      <b/>
      <sz val="14"/>
      <color rgb="FF1E40AF"/>
      <name val="Arial"/>
      <scheme val="minor"/>
    </font>
    <font>
      <b/>
      <sz val="11"/>
      <color rgb="FF000000"/>
      <name val="Arial"/>
      <scheme val="minor"/>
    </font>
    <font>
      <b/>
      <sz val="11"/>
      <color rgb="FF374151"/>
      <name val="Arial"/>
      <scheme val="minor"/>
    </font>
    <font>
      <b/>
      <sz val="16"/>
      <color rgb="FF0F172A"/>
      <name val="Arial"/>
      <scheme val="minor"/>
    </font>
    <font>
      <b/>
      <sz val="24"/>
      <color rgb="FF0F172A"/>
      <name val="Arial"/>
      <scheme val="minor"/>
    </font>
    <font>
      <b/>
      <sz val="10"/>
      <color rgb="FF374151"/>
      <name val="Arial"/>
      <scheme val="minor"/>
    </font>
    <font>
      <b/>
      <sz val="14"/>
      <color rgb="FF0F172A"/>
      <name val="Arial"/>
      <scheme val="minor"/>
    </font>
    <font>
      <sz val="10"/>
      <color rgb="FF92400E"/>
      <name val="Arial"/>
      <scheme val="minor"/>
    </font>
    <font>
      <b/>
      <sz val="11"/>
      <color rgb="FF1E40AF"/>
      <name val="Arial"/>
      <scheme val="minor"/>
    </font>
    <font>
      <b/>
      <sz val="12"/>
      <color theme="1"/>
      <name val="Arial"/>
      <scheme val="minor"/>
    </font>
    <font>
      <b/>
      <sz val="14"/>
      <color rgb="FFFFFFFF"/>
      <name val="Arial"/>
      <scheme val="minor"/>
    </font>
    <font>
      <b/>
      <sz val="11"/>
      <color rgb="FFFFFFFF"/>
      <name val="Arial"/>
      <scheme val="minor"/>
    </font>
    <font>
      <b/>
      <sz val="11"/>
      <color rgb="FFFFFFFF"/>
      <name val="Arial"/>
      <family val="2"/>
      <scheme val="minor"/>
    </font>
    <font>
      <sz val="12"/>
      <color rgb="FF000000"/>
      <name val="ArialMT"/>
      <charset val="1"/>
    </font>
    <font>
      <sz val="10"/>
      <color rgb="FF000000"/>
      <name val="Segoe UI"/>
    </font>
    <font>
      <b/>
      <sz val="10"/>
      <color theme="1"/>
      <name val="Segoe UI"/>
    </font>
    <font>
      <b/>
      <sz val="10"/>
      <color rgb="FF000000"/>
      <name val="Segoe UI"/>
    </font>
    <font>
      <sz val="12"/>
      <color rgb="FFFF0000"/>
      <name val="ArialMT"/>
    </font>
    <font>
      <sz val="10"/>
      <color rgb="FF000000"/>
      <name val="Calibri"/>
    </font>
    <font>
      <b/>
      <sz val="18"/>
      <color rgb="FF065F46"/>
      <name val="Arial"/>
      <scheme val="minor"/>
    </font>
    <font>
      <b/>
      <sz val="14"/>
      <color rgb="FFB45309"/>
      <name val="Arial"/>
      <scheme val="minor"/>
    </font>
    <font>
      <b/>
      <sz val="20"/>
      <color rgb="FF065F46"/>
      <name val="Arial"/>
      <scheme val="minor"/>
    </font>
    <font>
      <b/>
      <sz val="18"/>
      <color rgb="FF1E40AF"/>
      <name val="Arial"/>
      <scheme val="minor"/>
    </font>
    <font>
      <b/>
      <sz val="18"/>
      <color rgb="FFB45309"/>
      <name val="Arial"/>
      <scheme val="minor"/>
    </font>
    <font>
      <b/>
      <sz val="18"/>
      <color rgb="FF9D174D"/>
      <name val="Arial"/>
      <scheme val="minor"/>
    </font>
    <font>
      <i/>
      <sz val="10"/>
      <color rgb="FF64748B"/>
      <name val="Arial"/>
      <scheme val="minor"/>
    </font>
    <font>
      <sz val="9"/>
      <color rgb="FF991B1B"/>
      <name val="Arial"/>
      <scheme val="minor"/>
    </font>
    <font>
      <sz val="10"/>
      <color rgb="FFFF0000"/>
      <name val="Calibri"/>
    </font>
    <font>
      <sz val="10"/>
      <color rgb="FF000000"/>
      <name val="Arial"/>
      <charset val="1"/>
    </font>
    <font>
      <sz val="10"/>
      <color rgb="FF0E7490"/>
      <name val="Calibri"/>
      <charset val="1"/>
    </font>
    <font>
      <b/>
      <sz val="18"/>
      <color rgb="FF22C55E"/>
      <name val="Arial"/>
      <scheme val="minor"/>
    </font>
    <font>
      <b/>
      <sz val="10"/>
      <color rgb="FF17365D"/>
      <name val="Arial"/>
      <scheme val="minor"/>
    </font>
    <font>
      <sz val="10"/>
      <color rgb="FF548235"/>
      <name val="Arial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0369A1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21041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C4899"/>
        <bgColor indexed="64"/>
      </patternFill>
    </fill>
    <fill>
      <patternFill patternType="solid">
        <fgColor rgb="FF14B8A6"/>
        <bgColor indexed="64"/>
      </patternFill>
    </fill>
    <fill>
      <patternFill patternType="solid">
        <fgColor rgb="FF6366F1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7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rgb="FFE2E8F0"/>
      </top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ck">
        <color rgb="FFEF4444"/>
      </top>
      <bottom/>
      <diagonal/>
    </border>
    <border>
      <left style="thin">
        <color rgb="FFE2E8F0"/>
      </left>
      <right style="thin">
        <color rgb="FFE2E8F0"/>
      </right>
      <top style="thick">
        <color rgb="FF22C55E"/>
      </top>
      <bottom/>
      <diagonal/>
    </border>
    <border>
      <left style="thin">
        <color rgb="FFE2E8F0"/>
      </left>
      <right style="thin">
        <color rgb="FFE2E8F0"/>
      </right>
      <top style="thick">
        <color rgb="FF6B7280"/>
      </top>
      <bottom/>
      <diagonal/>
    </border>
    <border>
      <left style="thin">
        <color rgb="FFE2E8F0"/>
      </left>
      <right style="thin">
        <color rgb="FFE2E8F0"/>
      </right>
      <top style="thick">
        <color rgb="FFF97316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BAE6FD"/>
      </left>
      <right style="thin">
        <color rgb="FFBAE6FD"/>
      </right>
      <top style="thin">
        <color rgb="FFBAE6FD"/>
      </top>
      <bottom style="thin">
        <color rgb="FFBAE6FD"/>
      </bottom>
      <diagonal/>
    </border>
    <border>
      <left style="thin">
        <color rgb="FFBAE6FD"/>
      </left>
      <right/>
      <top style="thin">
        <color rgb="FFBAE6FD"/>
      </top>
      <bottom style="thin">
        <color rgb="FFBAE6FD"/>
      </bottom>
      <diagonal/>
    </border>
    <border>
      <left style="thin">
        <color rgb="FFE2E8F0"/>
      </left>
      <right style="thin">
        <color rgb="FFE2E8F0"/>
      </right>
      <top style="thick">
        <color rgb="FFE2E8F0"/>
      </top>
      <bottom/>
      <diagonal/>
    </border>
    <border>
      <left/>
      <right/>
      <top style="thick">
        <color rgb="FFE2E8F0"/>
      </top>
      <bottom/>
      <diagonal/>
    </border>
    <border>
      <left style="thin">
        <color rgb="FFBAE6FD"/>
      </left>
      <right style="thin">
        <color rgb="FFBAE6FD"/>
      </right>
      <top style="thin">
        <color rgb="FFE2E8F0"/>
      </top>
      <bottom style="thin">
        <color rgb="FFBAE6FD"/>
      </bottom>
      <diagonal/>
    </border>
    <border>
      <left style="thin">
        <color rgb="FFBAE6FD"/>
      </left>
      <right/>
      <top style="thin">
        <color rgb="FFE2E8F0"/>
      </top>
      <bottom style="thin">
        <color rgb="FFBAE6FD"/>
      </bottom>
      <diagonal/>
    </border>
    <border>
      <left style="thin">
        <color rgb="FFBAE6FD"/>
      </left>
      <right style="thin">
        <color rgb="FFBAE6FD"/>
      </right>
      <top style="thin">
        <color rgb="FFBAE6FD"/>
      </top>
      <bottom style="thin">
        <color rgb="FFE2E8F0"/>
      </bottom>
      <diagonal/>
    </border>
    <border>
      <left style="thin">
        <color rgb="FFBAE6FD"/>
      </left>
      <right/>
      <top style="thin">
        <color rgb="FFBAE6FD"/>
      </top>
      <bottom style="thin">
        <color rgb="FFE2E8F0"/>
      </bottom>
      <diagonal/>
    </border>
    <border>
      <left style="thin">
        <color rgb="FFE2E8F0"/>
      </left>
      <right style="thin">
        <color rgb="FFBAE6FD"/>
      </right>
      <top style="thin">
        <color rgb="FFE2E8F0"/>
      </top>
      <bottom style="thin">
        <color rgb="FFBAE6FD"/>
      </bottom>
      <diagonal/>
    </border>
    <border>
      <left style="thin">
        <color rgb="FFE2E8F0"/>
      </left>
      <right style="thin">
        <color rgb="FFBAE6FD"/>
      </right>
      <top style="thin">
        <color rgb="FFBAE6FD"/>
      </top>
      <bottom style="thin">
        <color rgb="FFBAE6FD"/>
      </bottom>
      <diagonal/>
    </border>
    <border>
      <left style="thin">
        <color rgb="FFE2E8F0"/>
      </left>
      <right style="thin">
        <color rgb="FFBAE6FD"/>
      </right>
      <top style="thin">
        <color rgb="FFBAE6FD"/>
      </top>
      <bottom style="thin">
        <color rgb="FFE2E8F0"/>
      </bottom>
      <diagonal/>
    </border>
    <border>
      <left style="thin">
        <color rgb="FFE2E8F0"/>
      </left>
      <right/>
      <top style="thick">
        <color rgb="FFE2E8F0"/>
      </top>
      <bottom/>
      <diagonal/>
    </border>
    <border>
      <left/>
      <right style="thin">
        <color rgb="FFE2E8F0"/>
      </right>
      <top style="thick">
        <color rgb="FFE2E8F0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E5E7EB"/>
      </left>
      <right style="thin">
        <color rgb="FFE5E7EB"/>
      </right>
      <top style="thin">
        <color auto="1"/>
      </top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 style="thin">
        <color auto="1"/>
      </bottom>
      <diagonal/>
    </border>
    <border>
      <left/>
      <right/>
      <top style="thin">
        <color rgb="FFD1D5DB"/>
      </top>
      <bottom style="thick">
        <color rgb="FF10B981"/>
      </bottom>
      <diagonal/>
    </border>
    <border>
      <left/>
      <right/>
      <top style="thin">
        <color rgb="FFE5E7EB"/>
      </top>
      <bottom/>
      <diagonal/>
    </border>
    <border>
      <left/>
      <right/>
      <top/>
      <bottom style="thick">
        <color rgb="FFE5E7EB"/>
      </bottom>
      <diagonal/>
    </border>
    <border>
      <left style="thin">
        <color rgb="FFE5E7EB"/>
      </left>
      <right/>
      <top style="thin">
        <color rgb="FFE5E7EB"/>
      </top>
      <bottom style="thick">
        <color auto="1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/>
      <top/>
      <bottom style="thick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 style="thin">
        <color rgb="FFE5E7EB"/>
      </right>
      <top/>
      <bottom/>
      <diagonal/>
    </border>
    <border>
      <left/>
      <right style="thin">
        <color rgb="FFE5E7EB"/>
      </right>
      <top/>
      <bottom style="thick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 style="thin">
        <color rgb="FFE5E7EB"/>
      </left>
      <right/>
      <top style="thin">
        <color rgb="FFD1D5DB"/>
      </top>
      <bottom style="thick">
        <color rgb="FF10B981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D1D5DB"/>
      </top>
      <bottom style="thick">
        <color rgb="FF10B981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 style="thin">
        <color rgb="FFE5E7EB"/>
      </right>
      <top style="thin">
        <color auto="1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auto="1"/>
      </top>
      <bottom style="thin">
        <color rgb="FFE0E0E0"/>
      </bottom>
      <diagonal/>
    </border>
    <border>
      <left style="thin">
        <color auto="1"/>
      </left>
      <right style="thin">
        <color rgb="FFE0E0E0"/>
      </right>
      <top style="thin">
        <color auto="1"/>
      </top>
      <bottom style="thin">
        <color rgb="FFE0E0E0"/>
      </bottom>
      <diagonal/>
    </border>
    <border>
      <left style="thin">
        <color auto="1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auto="1"/>
      </right>
      <top style="thin">
        <color auto="1"/>
      </top>
      <bottom style="thin">
        <color rgb="FFE0E0E0"/>
      </bottom>
      <diagonal/>
    </border>
    <border>
      <left style="thin">
        <color rgb="FFE0E0E0"/>
      </left>
      <right style="thin">
        <color auto="1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auto="1"/>
      </right>
      <top style="thin">
        <color rgb="FFE0E0E0"/>
      </top>
      <bottom/>
      <diagonal/>
    </border>
    <border>
      <left style="thin">
        <color auto="1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auto="1"/>
      </right>
      <top/>
      <bottom style="thin">
        <color rgb="FFE0E0E0"/>
      </bottom>
      <diagonal/>
    </border>
    <border>
      <left style="thin">
        <color auto="1"/>
      </left>
      <right style="thin">
        <color rgb="FFE0E0E0"/>
      </right>
      <top style="thick">
        <color rgb="FF1E3A5F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ck">
        <color rgb="FF1E3A5F"/>
      </top>
      <bottom style="thin">
        <color rgb="FFE0E0E0"/>
      </bottom>
      <diagonal/>
    </border>
    <border>
      <left style="thin">
        <color rgb="FFE0E0E0"/>
      </left>
      <right style="thin">
        <color auto="1"/>
      </right>
      <top style="thick">
        <color rgb="FF1E3A5F"/>
      </top>
      <bottom style="thin">
        <color rgb="FFE0E0E0"/>
      </bottom>
      <diagonal/>
    </border>
    <border>
      <left/>
      <right/>
      <top style="thick">
        <color rgb="FF1E3A5F"/>
      </top>
      <bottom/>
      <diagonal/>
    </border>
    <border>
      <left/>
      <right/>
      <top/>
      <bottom style="thick">
        <color rgb="FFF59E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E2E8F0"/>
      </left>
      <right/>
      <top style="thin">
        <color auto="1"/>
      </top>
      <bottom/>
      <diagonal/>
    </border>
    <border>
      <left style="thin">
        <color rgb="FFE2E8F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463C"/>
      </left>
      <right/>
      <top/>
      <bottom/>
      <diagonal/>
    </border>
    <border>
      <left/>
      <right style="thin">
        <color rgb="FFBB463C"/>
      </right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38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readingOrder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readingOrder="1"/>
    </xf>
    <xf numFmtId="49" fontId="5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readingOrder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5" fontId="18" fillId="0" borderId="1" xfId="0" applyNumberFormat="1" applyFont="1" applyBorder="1" applyAlignment="1">
      <alignment horizontal="center" vertical="center" wrapText="1" readingOrder="1"/>
    </xf>
    <xf numFmtId="0" fontId="19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center" vertical="center" wrapText="1"/>
    </xf>
    <xf numFmtId="0" fontId="20" fillId="2" borderId="0" xfId="0" applyFont="1" applyFill="1"/>
    <xf numFmtId="3" fontId="1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0" fontId="21" fillId="0" borderId="0" xfId="1" applyAlignment="1">
      <alignment horizontal="center" vertical="center" wrapText="1"/>
    </xf>
    <xf numFmtId="0" fontId="0" fillId="0" borderId="0" xfId="0" applyAlignment="1">
      <alignment wrapText="1"/>
    </xf>
    <xf numFmtId="20" fontId="0" fillId="0" borderId="0" xfId="0" applyNumberFormat="1"/>
    <xf numFmtId="16" fontId="0" fillId="0" borderId="0" xfId="0" applyNumberFormat="1" applyAlignment="1">
      <alignment horizontal="center" vertical="center"/>
    </xf>
    <xf numFmtId="1" fontId="5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19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5" fontId="18" fillId="4" borderId="1" xfId="0" applyNumberFormat="1" applyFont="1" applyFill="1" applyBorder="1" applyAlignment="1">
      <alignment horizontal="center" vertical="center" wrapText="1" readingOrder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/>
    </xf>
    <xf numFmtId="0" fontId="0" fillId="7" borderId="0" xfId="0" applyFill="1"/>
    <xf numFmtId="0" fontId="0" fillId="10" borderId="2" xfId="0" applyFill="1" applyBorder="1"/>
    <xf numFmtId="0" fontId="25" fillId="7" borderId="0" xfId="0" applyFont="1" applyFill="1"/>
    <xf numFmtId="0" fontId="27" fillId="3" borderId="11" xfId="0" applyFont="1" applyFill="1" applyBorder="1" applyAlignment="1">
      <alignment horizontal="center"/>
    </xf>
    <xf numFmtId="0" fontId="28" fillId="3" borderId="11" xfId="0" applyFont="1" applyFill="1" applyBorder="1" applyAlignment="1">
      <alignment horizontal="center"/>
    </xf>
    <xf numFmtId="0" fontId="0" fillId="3" borderId="12" xfId="0" applyFill="1" applyBorder="1"/>
    <xf numFmtId="0" fontId="29" fillId="3" borderId="11" xfId="0" applyFont="1" applyFill="1" applyBorder="1" applyAlignment="1">
      <alignment horizontal="center"/>
    </xf>
    <xf numFmtId="0" fontId="30" fillId="3" borderId="11" xfId="0" applyFont="1" applyFill="1" applyBorder="1" applyAlignment="1">
      <alignment horizontal="center"/>
    </xf>
    <xf numFmtId="166" fontId="31" fillId="3" borderId="11" xfId="0" applyNumberFormat="1" applyFont="1" applyFill="1" applyBorder="1" applyAlignment="1">
      <alignment horizontal="center"/>
    </xf>
    <xf numFmtId="0" fontId="26" fillId="3" borderId="13" xfId="0" applyFont="1" applyFill="1" applyBorder="1" applyAlignment="1">
      <alignment horizontal="center"/>
    </xf>
    <xf numFmtId="0" fontId="32" fillId="3" borderId="11" xfId="0" applyFont="1" applyFill="1" applyBorder="1" applyAlignment="1">
      <alignment horizontal="center"/>
    </xf>
    <xf numFmtId="0" fontId="26" fillId="3" borderId="14" xfId="0" applyFont="1" applyFill="1" applyBorder="1" applyAlignment="1">
      <alignment horizontal="center"/>
    </xf>
    <xf numFmtId="0" fontId="33" fillId="3" borderId="11" xfId="0" applyFont="1" applyFill="1" applyBorder="1" applyAlignment="1">
      <alignment horizontal="center"/>
    </xf>
    <xf numFmtId="0" fontId="26" fillId="3" borderId="15" xfId="0" applyFont="1" applyFill="1" applyBorder="1" applyAlignment="1">
      <alignment horizontal="center"/>
    </xf>
    <xf numFmtId="0" fontId="34" fillId="3" borderId="11" xfId="0" applyFont="1" applyFill="1" applyBorder="1" applyAlignment="1">
      <alignment horizontal="center"/>
    </xf>
    <xf numFmtId="0" fontId="26" fillId="3" borderId="16" xfId="0" applyFont="1" applyFill="1" applyBorder="1" applyAlignment="1">
      <alignment horizontal="center"/>
    </xf>
    <xf numFmtId="49" fontId="35" fillId="3" borderId="11" xfId="0" applyNumberFormat="1" applyFont="1" applyFill="1" applyBorder="1" applyAlignment="1">
      <alignment horizontal="center"/>
    </xf>
    <xf numFmtId="0" fontId="0" fillId="7" borderId="2" xfId="0" applyFill="1" applyBorder="1"/>
    <xf numFmtId="0" fontId="37" fillId="8" borderId="12" xfId="0" applyFont="1" applyFill="1" applyBorder="1" applyAlignment="1">
      <alignment horizontal="center"/>
    </xf>
    <xf numFmtId="0" fontId="40" fillId="3" borderId="10" xfId="0" applyFont="1" applyFill="1" applyBorder="1"/>
    <xf numFmtId="0" fontId="40" fillId="7" borderId="10" xfId="0" applyFont="1" applyFill="1" applyBorder="1"/>
    <xf numFmtId="0" fontId="25" fillId="13" borderId="0" xfId="0" applyFont="1" applyFill="1"/>
    <xf numFmtId="0" fontId="0" fillId="13" borderId="0" xfId="0" applyFill="1"/>
    <xf numFmtId="9" fontId="0" fillId="3" borderId="20" xfId="0" applyNumberFormat="1" applyFill="1" applyBorder="1"/>
    <xf numFmtId="9" fontId="0" fillId="15" borderId="20" xfId="0" applyNumberFormat="1" applyFill="1" applyBorder="1"/>
    <xf numFmtId="0" fontId="25" fillId="12" borderId="0" xfId="0" applyFont="1" applyFill="1"/>
    <xf numFmtId="0" fontId="0" fillId="12" borderId="0" xfId="0" applyFill="1"/>
    <xf numFmtId="0" fontId="42" fillId="3" borderId="0" xfId="0" applyFont="1" applyFill="1" applyAlignment="1">
      <alignment horizontal="center"/>
    </xf>
    <xf numFmtId="0" fontId="43" fillId="3" borderId="0" xfId="0" applyFont="1" applyFill="1" applyAlignment="1">
      <alignment horizontal="center"/>
    </xf>
    <xf numFmtId="0" fontId="26" fillId="3" borderId="21" xfId="0" applyFont="1" applyFill="1" applyBorder="1" applyAlignment="1">
      <alignment horizontal="center"/>
    </xf>
    <xf numFmtId="0" fontId="0" fillId="7" borderId="22" xfId="0" applyFill="1" applyBorder="1"/>
    <xf numFmtId="0" fontId="0" fillId="7" borderId="3" xfId="0" applyFill="1" applyBorder="1"/>
    <xf numFmtId="0" fontId="0" fillId="7" borderId="8" xfId="0" applyFill="1" applyBorder="1"/>
    <xf numFmtId="0" fontId="36" fillId="7" borderId="2" xfId="0" applyFont="1" applyFill="1" applyBorder="1"/>
    <xf numFmtId="0" fontId="36" fillId="7" borderId="4" xfId="0" applyFont="1" applyFill="1" applyBorder="1"/>
    <xf numFmtId="0" fontId="0" fillId="7" borderId="7" xfId="0" applyFill="1" applyBorder="1"/>
    <xf numFmtId="0" fontId="0" fillId="7" borderId="9" xfId="0" applyFill="1" applyBorder="1"/>
    <xf numFmtId="0" fontId="39" fillId="10" borderId="4" xfId="0" applyFont="1" applyFill="1" applyBorder="1"/>
    <xf numFmtId="0" fontId="0" fillId="10" borderId="7" xfId="0" applyFill="1" applyBorder="1"/>
    <xf numFmtId="0" fontId="0" fillId="9" borderId="2" xfId="0" applyFill="1" applyBorder="1"/>
    <xf numFmtId="0" fontId="39" fillId="9" borderId="4" xfId="0" applyFont="1" applyFill="1" applyBorder="1"/>
    <xf numFmtId="0" fontId="0" fillId="9" borderId="7" xfId="0" applyFill="1" applyBorder="1"/>
    <xf numFmtId="0" fontId="37" fillId="14" borderId="23" xfId="0" applyFont="1" applyFill="1" applyBorder="1" applyAlignment="1">
      <alignment horizontal="center"/>
    </xf>
    <xf numFmtId="0" fontId="37" fillId="14" borderId="24" xfId="0" applyFont="1" applyFill="1" applyBorder="1" applyAlignment="1">
      <alignment horizontal="center"/>
    </xf>
    <xf numFmtId="9" fontId="0" fillId="15" borderId="26" xfId="0" applyNumberFormat="1" applyFill="1" applyBorder="1"/>
    <xf numFmtId="0" fontId="37" fillId="14" borderId="27" xfId="0" applyFont="1" applyFill="1" applyBorder="1" applyAlignment="1">
      <alignment horizontal="center"/>
    </xf>
    <xf numFmtId="0" fontId="0" fillId="3" borderId="28" xfId="0" applyFill="1" applyBorder="1"/>
    <xf numFmtId="0" fontId="0" fillId="15" borderId="28" xfId="0" applyFill="1" applyBorder="1"/>
    <xf numFmtId="0" fontId="0" fillId="15" borderId="29" xfId="0" applyFill="1" applyBorder="1"/>
    <xf numFmtId="0" fontId="26" fillId="3" borderId="22" xfId="0" applyFont="1" applyFill="1" applyBorder="1" applyAlignment="1">
      <alignment horizontal="center"/>
    </xf>
    <xf numFmtId="0" fontId="28" fillId="3" borderId="3" xfId="0" applyFont="1" applyFill="1" applyBorder="1" applyAlignment="1">
      <alignment horizontal="center"/>
    </xf>
    <xf numFmtId="0" fontId="26" fillId="3" borderId="30" xfId="0" applyFont="1" applyFill="1" applyBorder="1" applyAlignment="1">
      <alignment horizontal="center"/>
    </xf>
    <xf numFmtId="0" fontId="41" fillId="3" borderId="5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26" fillId="3" borderId="31" xfId="0" applyFont="1" applyFill="1" applyBorder="1" applyAlignment="1">
      <alignment horizontal="center"/>
    </xf>
    <xf numFmtId="3" fontId="23" fillId="3" borderId="8" xfId="0" applyNumberFormat="1" applyFont="1" applyFill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44" fillId="7" borderId="0" xfId="0" applyFont="1" applyFill="1"/>
    <xf numFmtId="0" fontId="44" fillId="7" borderId="0" xfId="0" applyFont="1" applyFill="1" applyAlignment="1">
      <alignment horizontal="center"/>
    </xf>
    <xf numFmtId="9" fontId="45" fillId="7" borderId="0" xfId="0" applyNumberFormat="1" applyFont="1" applyFill="1" applyAlignment="1">
      <alignment horizontal="left"/>
    </xf>
    <xf numFmtId="166" fontId="47" fillId="7" borderId="0" xfId="0" applyNumberFormat="1" applyFont="1" applyFill="1"/>
    <xf numFmtId="0" fontId="0" fillId="7" borderId="0" xfId="0" applyFill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46" fillId="7" borderId="0" xfId="0" applyNumberFormat="1" applyFont="1" applyFill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166" fontId="47" fillId="7" borderId="0" xfId="0" applyNumberFormat="1" applyFont="1" applyFill="1" applyAlignment="1">
      <alignment horizontal="center" vertical="center"/>
    </xf>
    <xf numFmtId="0" fontId="40" fillId="3" borderId="10" xfId="0" applyFont="1" applyFill="1" applyBorder="1" applyAlignment="1">
      <alignment wrapText="1"/>
    </xf>
    <xf numFmtId="0" fontId="40" fillId="7" borderId="10" xfId="0" applyFont="1" applyFill="1" applyBorder="1" applyAlignment="1">
      <alignment wrapText="1"/>
    </xf>
    <xf numFmtId="0" fontId="40" fillId="3" borderId="10" xfId="0" applyFont="1" applyFill="1" applyBorder="1" applyAlignment="1">
      <alignment horizontal="center" vertical="center"/>
    </xf>
    <xf numFmtId="0" fontId="40" fillId="7" borderId="10" xfId="0" applyFont="1" applyFill="1" applyBorder="1" applyAlignment="1">
      <alignment horizontal="center" vertical="center"/>
    </xf>
    <xf numFmtId="0" fontId="40" fillId="3" borderId="10" xfId="0" applyFont="1" applyFill="1" applyBorder="1" applyAlignment="1">
      <alignment horizontal="center" vertical="center" wrapText="1"/>
    </xf>
    <xf numFmtId="0" fontId="40" fillId="7" borderId="10" xfId="0" applyFont="1" applyFill="1" applyBorder="1" applyAlignment="1">
      <alignment horizontal="center" vertical="center" wrapText="1"/>
    </xf>
    <xf numFmtId="0" fontId="37" fillId="8" borderId="12" xfId="0" applyFont="1" applyFill="1" applyBorder="1" applyAlignment="1">
      <alignment horizontal="center" vertical="center"/>
    </xf>
    <xf numFmtId="0" fontId="37" fillId="8" borderId="12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51" fillId="7" borderId="0" xfId="0" applyFon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20" fillId="0" borderId="0" xfId="0" applyFont="1"/>
    <xf numFmtId="0" fontId="37" fillId="18" borderId="33" xfId="0" applyFont="1" applyFill="1" applyBorder="1" applyAlignment="1">
      <alignment horizontal="center"/>
    </xf>
    <xf numFmtId="0" fontId="37" fillId="20" borderId="33" xfId="0" applyFont="1" applyFill="1" applyBorder="1" applyAlignment="1">
      <alignment horizontal="center"/>
    </xf>
    <xf numFmtId="0" fontId="57" fillId="3" borderId="34" xfId="0" applyFont="1" applyFill="1" applyBorder="1" applyAlignment="1">
      <alignment horizontal="center"/>
    </xf>
    <xf numFmtId="0" fontId="44" fillId="26" borderId="35" xfId="0" applyFont="1" applyFill="1" applyBorder="1" applyAlignment="1">
      <alignment horizontal="center"/>
    </xf>
    <xf numFmtId="0" fontId="37" fillId="29" borderId="32" xfId="0" applyFont="1" applyFill="1" applyBorder="1" applyAlignment="1">
      <alignment horizontal="center"/>
    </xf>
    <xf numFmtId="0" fontId="37" fillId="28" borderId="33" xfId="0" applyFont="1" applyFill="1" applyBorder="1" applyAlignment="1">
      <alignment horizontal="center"/>
    </xf>
    <xf numFmtId="0" fontId="37" fillId="10" borderId="33" xfId="0" applyFont="1" applyFill="1" applyBorder="1" applyAlignment="1">
      <alignment horizontal="center"/>
    </xf>
    <xf numFmtId="0" fontId="55" fillId="26" borderId="0" xfId="0" applyFont="1" applyFill="1" applyAlignment="1">
      <alignment horizontal="center"/>
    </xf>
    <xf numFmtId="0" fontId="56" fillId="3" borderId="38" xfId="0" applyFont="1" applyFill="1" applyBorder="1" applyAlignment="1">
      <alignment horizontal="center"/>
    </xf>
    <xf numFmtId="0" fontId="55" fillId="26" borderId="40" xfId="0" applyFont="1" applyFill="1" applyBorder="1" applyAlignment="1">
      <alignment horizontal="center"/>
    </xf>
    <xf numFmtId="167" fontId="56" fillId="3" borderId="41" xfId="0" applyNumberFormat="1" applyFont="1" applyFill="1" applyBorder="1" applyAlignment="1">
      <alignment horizontal="center"/>
    </xf>
    <xf numFmtId="0" fontId="55" fillId="26" borderId="43" xfId="0" applyFont="1" applyFill="1" applyBorder="1" applyAlignment="1">
      <alignment horizontal="center"/>
    </xf>
    <xf numFmtId="0" fontId="56" fillId="3" borderId="44" xfId="0" applyFont="1" applyFill="1" applyBorder="1" applyAlignment="1">
      <alignment horizontal="center"/>
    </xf>
    <xf numFmtId="0" fontId="44" fillId="26" borderId="45" xfId="0" applyFont="1" applyFill="1" applyBorder="1" applyAlignment="1">
      <alignment horizontal="center"/>
    </xf>
    <xf numFmtId="0" fontId="37" fillId="9" borderId="34" xfId="0" applyFont="1" applyFill="1" applyBorder="1" applyAlignment="1">
      <alignment horizontal="center"/>
    </xf>
    <xf numFmtId="0" fontId="0" fillId="7" borderId="40" xfId="0" applyFill="1" applyBorder="1"/>
    <xf numFmtId="0" fontId="37" fillId="27" borderId="33" xfId="0" applyFont="1" applyFill="1" applyBorder="1" applyAlignment="1">
      <alignment horizontal="center"/>
    </xf>
    <xf numFmtId="0" fontId="37" fillId="21" borderId="33" xfId="0" applyFont="1" applyFill="1" applyBorder="1" applyAlignment="1">
      <alignment horizontal="center"/>
    </xf>
    <xf numFmtId="3" fontId="57" fillId="3" borderId="34" xfId="0" applyNumberFormat="1" applyFont="1" applyFill="1" applyBorder="1" applyAlignment="1">
      <alignment horizontal="center"/>
    </xf>
    <xf numFmtId="0" fontId="0" fillId="7" borderId="43" xfId="0" applyFill="1" applyBorder="1"/>
    <xf numFmtId="0" fontId="37" fillId="29" borderId="33" xfId="0" applyFont="1" applyFill="1" applyBorder="1" applyAlignment="1">
      <alignment horizontal="center"/>
    </xf>
    <xf numFmtId="0" fontId="58" fillId="26" borderId="0" xfId="0" applyFont="1" applyFill="1" applyAlignment="1">
      <alignment horizontal="center"/>
    </xf>
    <xf numFmtId="0" fontId="60" fillId="12" borderId="46" xfId="0" applyFont="1" applyFill="1" applyBorder="1" applyAlignment="1">
      <alignment horizontal="center"/>
    </xf>
    <xf numFmtId="0" fontId="0" fillId="7" borderId="46" xfId="0" applyFill="1" applyBorder="1"/>
    <xf numFmtId="0" fontId="58" fillId="26" borderId="40" xfId="0" applyFont="1" applyFill="1" applyBorder="1" applyAlignment="1">
      <alignment horizontal="center"/>
    </xf>
    <xf numFmtId="0" fontId="20" fillId="7" borderId="48" xfId="0" applyFont="1" applyFill="1" applyBorder="1"/>
    <xf numFmtId="0" fontId="58" fillId="26" borderId="43" xfId="0" applyFont="1" applyFill="1" applyBorder="1" applyAlignment="1">
      <alignment horizontal="center"/>
    </xf>
    <xf numFmtId="0" fontId="0" fillId="7" borderId="50" xfId="0" applyFill="1" applyBorder="1"/>
    <xf numFmtId="0" fontId="37" fillId="29" borderId="40" xfId="0" applyFont="1" applyFill="1" applyBorder="1" applyAlignment="1">
      <alignment horizontal="center"/>
    </xf>
    <xf numFmtId="0" fontId="37" fillId="29" borderId="51" xfId="0" applyFont="1" applyFill="1" applyBorder="1" applyAlignment="1">
      <alignment horizontal="center"/>
    </xf>
    <xf numFmtId="0" fontId="54" fillId="12" borderId="46" xfId="0" applyFont="1" applyFill="1" applyBorder="1" applyAlignment="1">
      <alignment horizontal="center"/>
    </xf>
    <xf numFmtId="0" fontId="54" fillId="23" borderId="46" xfId="0" applyFont="1" applyFill="1" applyBorder="1" applyAlignment="1">
      <alignment horizontal="center"/>
    </xf>
    <xf numFmtId="0" fontId="54" fillId="25" borderId="48" xfId="0" applyFont="1" applyFill="1" applyBorder="1" applyAlignment="1">
      <alignment horizontal="center"/>
    </xf>
    <xf numFmtId="0" fontId="54" fillId="22" borderId="50" xfId="0" applyFont="1" applyFill="1" applyBorder="1" applyAlignment="1">
      <alignment horizontal="center"/>
    </xf>
    <xf numFmtId="0" fontId="0" fillId="31" borderId="40" xfId="0" applyFill="1" applyBorder="1" applyAlignment="1">
      <alignment horizontal="center" vertical="center"/>
    </xf>
    <xf numFmtId="0" fontId="0" fillId="31" borderId="0" xfId="0" applyFill="1" applyAlignment="1">
      <alignment horizontal="center" vertical="center"/>
    </xf>
    <xf numFmtId="1" fontId="0" fillId="31" borderId="0" xfId="0" applyNumberFormat="1" applyFill="1" applyAlignment="1">
      <alignment horizontal="center" vertical="center"/>
    </xf>
    <xf numFmtId="0" fontId="0" fillId="31" borderId="4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1" borderId="48" xfId="0" applyFill="1" applyBorder="1" applyAlignment="1">
      <alignment horizontal="center" vertical="center"/>
    </xf>
    <xf numFmtId="0" fontId="0" fillId="31" borderId="46" xfId="0" applyFill="1" applyBorder="1" applyAlignment="1">
      <alignment horizontal="center" vertical="center"/>
    </xf>
    <xf numFmtId="1" fontId="0" fillId="31" borderId="46" xfId="0" applyNumberFormat="1" applyFill="1" applyBorder="1" applyAlignment="1">
      <alignment horizontal="center" vertical="center"/>
    </xf>
    <xf numFmtId="0" fontId="0" fillId="31" borderId="50" xfId="0" applyFill="1" applyBorder="1" applyAlignment="1">
      <alignment horizontal="center" vertical="center"/>
    </xf>
    <xf numFmtId="0" fontId="37" fillId="18" borderId="40" xfId="0" applyFont="1" applyFill="1" applyBorder="1" applyAlignment="1">
      <alignment horizontal="center" vertical="center"/>
    </xf>
    <xf numFmtId="0" fontId="37" fillId="18" borderId="32" xfId="0" applyFont="1" applyFill="1" applyBorder="1" applyAlignment="1">
      <alignment horizontal="center" vertical="center"/>
    </xf>
    <xf numFmtId="0" fontId="37" fillId="18" borderId="51" xfId="0" applyFont="1" applyFill="1" applyBorder="1" applyAlignment="1">
      <alignment horizontal="center" vertical="center"/>
    </xf>
    <xf numFmtId="0" fontId="0" fillId="19" borderId="40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 wrapText="1"/>
    </xf>
    <xf numFmtId="0" fontId="0" fillId="19" borderId="43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2" borderId="0" xfId="0" applyFill="1"/>
    <xf numFmtId="0" fontId="59" fillId="3" borderId="47" xfId="0" applyFont="1" applyFill="1" applyBorder="1" applyAlignment="1">
      <alignment horizontal="center" vertical="center"/>
    </xf>
    <xf numFmtId="0" fontId="59" fillId="3" borderId="36" xfId="0" applyFont="1" applyFill="1" applyBorder="1" applyAlignment="1">
      <alignment horizontal="center" vertical="center"/>
    </xf>
    <xf numFmtId="0" fontId="59" fillId="3" borderId="49" xfId="0" applyFont="1" applyFill="1" applyBorder="1" applyAlignment="1">
      <alignment horizontal="center" vertical="center"/>
    </xf>
    <xf numFmtId="0" fontId="62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66" fillId="0" borderId="0" xfId="0" applyNumberFormat="1" applyFont="1" applyAlignment="1">
      <alignment horizontal="center" vertical="center"/>
    </xf>
    <xf numFmtId="0" fontId="40" fillId="0" borderId="10" xfId="0" applyFont="1" applyBorder="1"/>
    <xf numFmtId="0" fontId="40" fillId="3" borderId="10" xfId="0" applyFont="1" applyFill="1" applyBorder="1" applyAlignment="1">
      <alignment vertical="center"/>
    </xf>
    <xf numFmtId="0" fontId="40" fillId="3" borderId="10" xfId="0" applyFont="1" applyFill="1" applyBorder="1" applyAlignment="1">
      <alignment vertical="center" wrapText="1"/>
    </xf>
    <xf numFmtId="0" fontId="67" fillId="0" borderId="53" xfId="0" applyFont="1" applyBorder="1" applyAlignment="1">
      <alignment horizontal="center" vertical="center"/>
    </xf>
    <xf numFmtId="0" fontId="67" fillId="0" borderId="53" xfId="0" applyFont="1" applyBorder="1" applyAlignment="1">
      <alignment horizontal="center" vertical="center" wrapText="1"/>
    </xf>
    <xf numFmtId="16" fontId="67" fillId="0" borderId="53" xfId="0" applyNumberFormat="1" applyFont="1" applyBorder="1" applyAlignment="1">
      <alignment horizontal="center" vertical="center"/>
    </xf>
    <xf numFmtId="0" fontId="67" fillId="0" borderId="58" xfId="0" applyFont="1" applyBorder="1" applyAlignment="1">
      <alignment horizontal="center" vertical="center" wrapText="1"/>
    </xf>
    <xf numFmtId="0" fontId="68" fillId="0" borderId="58" xfId="0" applyFont="1" applyBorder="1" applyAlignment="1">
      <alignment horizontal="center" vertical="center" wrapText="1"/>
    </xf>
    <xf numFmtId="0" fontId="67" fillId="0" borderId="60" xfId="0" applyFont="1" applyBorder="1" applyAlignment="1">
      <alignment horizontal="center" vertical="center"/>
    </xf>
    <xf numFmtId="0" fontId="67" fillId="0" borderId="60" xfId="0" applyFont="1" applyBorder="1" applyAlignment="1">
      <alignment horizontal="center" vertical="center" wrapText="1"/>
    </xf>
    <xf numFmtId="0" fontId="67" fillId="0" borderId="61" xfId="0" applyFont="1" applyBorder="1" applyAlignment="1">
      <alignment horizontal="center" vertical="center" wrapText="1"/>
    </xf>
    <xf numFmtId="15" fontId="68" fillId="0" borderId="56" xfId="0" applyNumberFormat="1" applyFont="1" applyBorder="1" applyAlignment="1">
      <alignment horizontal="center" vertical="center" wrapText="1" readingOrder="1"/>
    </xf>
    <xf numFmtId="15" fontId="68" fillId="0" borderId="53" xfId="0" applyNumberFormat="1" applyFont="1" applyBorder="1" applyAlignment="1">
      <alignment horizontal="center" vertical="center" wrapText="1" readingOrder="1"/>
    </xf>
    <xf numFmtId="15" fontId="68" fillId="0" borderId="59" xfId="0" applyNumberFormat="1" applyFont="1" applyBorder="1" applyAlignment="1">
      <alignment horizontal="center" vertical="center" wrapText="1" readingOrder="1"/>
    </xf>
    <xf numFmtId="15" fontId="68" fillId="0" borderId="60" xfId="0" applyNumberFormat="1" applyFont="1" applyBorder="1" applyAlignment="1">
      <alignment horizontal="center" vertical="center" wrapText="1" readingOrder="1"/>
    </xf>
    <xf numFmtId="15" fontId="67" fillId="0" borderId="0" xfId="0" applyNumberFormat="1" applyFont="1" applyAlignment="1">
      <alignment vertical="center"/>
    </xf>
    <xf numFmtId="0" fontId="67" fillId="0" borderId="0" xfId="0" applyFont="1" applyAlignment="1">
      <alignment vertical="center"/>
    </xf>
    <xf numFmtId="0" fontId="64" fillId="34" borderId="55" xfId="0" applyFont="1" applyFill="1" applyBorder="1" applyAlignment="1">
      <alignment horizontal="center" vertical="center"/>
    </xf>
    <xf numFmtId="0" fontId="64" fillId="34" borderId="54" xfId="0" applyFont="1" applyFill="1" applyBorder="1" applyAlignment="1">
      <alignment horizontal="center" vertical="center"/>
    </xf>
    <xf numFmtId="0" fontId="64" fillId="34" borderId="54" xfId="0" applyFont="1" applyFill="1" applyBorder="1" applyAlignment="1">
      <alignment horizontal="center" vertical="center" wrapText="1"/>
    </xf>
    <xf numFmtId="0" fontId="65" fillId="34" borderId="54" xfId="0" applyFont="1" applyFill="1" applyBorder="1" applyAlignment="1">
      <alignment horizontal="center" vertical="center"/>
    </xf>
    <xf numFmtId="0" fontId="64" fillId="34" borderId="57" xfId="0" applyFont="1" applyFill="1" applyBorder="1" applyAlignment="1">
      <alignment horizontal="center" vertical="center" wrapText="1"/>
    </xf>
    <xf numFmtId="15" fontId="69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15" fontId="68" fillId="0" borderId="62" xfId="0" applyNumberFormat="1" applyFont="1" applyBorder="1" applyAlignment="1">
      <alignment horizontal="center" vertical="center" wrapText="1" readingOrder="1"/>
    </xf>
    <xf numFmtId="0" fontId="67" fillId="0" borderId="63" xfId="0" applyFont="1" applyBorder="1" applyAlignment="1">
      <alignment horizontal="center" vertical="center" wrapText="1"/>
    </xf>
    <xf numFmtId="0" fontId="67" fillId="0" borderId="63" xfId="0" applyFont="1" applyBorder="1" applyAlignment="1">
      <alignment horizontal="center" vertical="center"/>
    </xf>
    <xf numFmtId="15" fontId="68" fillId="0" borderId="63" xfId="0" applyNumberFormat="1" applyFont="1" applyBorder="1" applyAlignment="1">
      <alignment horizontal="center" vertical="center" wrapText="1" readingOrder="1"/>
    </xf>
    <xf numFmtId="0" fontId="67" fillId="0" borderId="64" xfId="0" applyFont="1" applyBorder="1" applyAlignment="1">
      <alignment horizontal="center" vertical="center" wrapText="1"/>
    </xf>
    <xf numFmtId="15" fontId="68" fillId="0" borderId="65" xfId="0" applyNumberFormat="1" applyFont="1" applyBorder="1" applyAlignment="1">
      <alignment horizontal="center" vertical="center" wrapText="1" readingOrder="1"/>
    </xf>
    <xf numFmtId="0" fontId="67" fillId="0" borderId="66" xfId="0" applyFont="1" applyBorder="1" applyAlignment="1">
      <alignment horizontal="center" vertical="center" wrapText="1"/>
    </xf>
    <xf numFmtId="0" fontId="67" fillId="0" borderId="66" xfId="0" applyFont="1" applyBorder="1" applyAlignment="1">
      <alignment horizontal="center" vertical="center"/>
    </xf>
    <xf numFmtId="15" fontId="68" fillId="0" borderId="66" xfId="0" applyNumberFormat="1" applyFont="1" applyBorder="1" applyAlignment="1">
      <alignment horizontal="center" vertical="center" wrapText="1" readingOrder="1"/>
    </xf>
    <xf numFmtId="0" fontId="67" fillId="0" borderId="67" xfId="0" applyFont="1" applyBorder="1" applyAlignment="1">
      <alignment horizontal="center" vertical="center" wrapText="1"/>
    </xf>
    <xf numFmtId="15" fontId="69" fillId="0" borderId="68" xfId="0" applyNumberFormat="1" applyFont="1" applyBorder="1" applyAlignment="1">
      <alignment horizontal="center" vertical="center"/>
    </xf>
    <xf numFmtId="0" fontId="67" fillId="0" borderId="68" xfId="0" applyFont="1" applyBorder="1" applyAlignment="1">
      <alignment vertical="center"/>
    </xf>
    <xf numFmtId="0" fontId="67" fillId="0" borderId="68" xfId="0" applyFont="1" applyBorder="1" applyAlignment="1">
      <alignment horizontal="center" vertical="center"/>
    </xf>
    <xf numFmtId="15" fontId="67" fillId="0" borderId="68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 wrapText="1"/>
    </xf>
    <xf numFmtId="0" fontId="20" fillId="2" borderId="0" xfId="0" applyFont="1" applyFill="1" applyAlignment="1">
      <alignment vertical="center" wrapText="1"/>
    </xf>
    <xf numFmtId="0" fontId="71" fillId="0" borderId="0" xfId="0" applyFont="1" applyAlignment="1">
      <alignment horizontal="center" vertical="center"/>
    </xf>
    <xf numFmtId="0" fontId="71" fillId="0" borderId="0" xfId="0" applyFont="1" applyAlignment="1">
      <alignment horizontal="left" vertical="center"/>
    </xf>
    <xf numFmtId="15" fontId="71" fillId="0" borderId="0" xfId="0" applyNumberFormat="1" applyFont="1" applyAlignment="1">
      <alignment horizontal="left" vertical="center"/>
    </xf>
    <xf numFmtId="0" fontId="71" fillId="0" borderId="0" xfId="0" applyFont="1" applyAlignment="1">
      <alignment horizontal="left" vertical="center" wrapText="1"/>
    </xf>
    <xf numFmtId="0" fontId="0" fillId="9" borderId="0" xfId="0" applyFill="1"/>
    <xf numFmtId="0" fontId="20" fillId="26" borderId="0" xfId="0" applyFont="1" applyFill="1" applyAlignment="1">
      <alignment horizontal="center"/>
    </xf>
    <xf numFmtId="0" fontId="20" fillId="19" borderId="0" xfId="0" applyFont="1" applyFill="1" applyAlignment="1">
      <alignment horizontal="center"/>
    </xf>
    <xf numFmtId="0" fontId="72" fillId="23" borderId="0" xfId="0" applyFont="1" applyFill="1" applyAlignment="1">
      <alignment horizontal="center"/>
    </xf>
    <xf numFmtId="0" fontId="20" fillId="36" borderId="0" xfId="0" applyFont="1" applyFill="1" applyAlignment="1">
      <alignment horizontal="center"/>
    </xf>
    <xf numFmtId="0" fontId="73" fillId="35" borderId="69" xfId="0" applyFont="1" applyFill="1" applyBorder="1" applyAlignment="1">
      <alignment horizontal="center"/>
    </xf>
    <xf numFmtId="0" fontId="74" fillId="23" borderId="0" xfId="0" applyFont="1" applyFill="1" applyAlignment="1">
      <alignment horizontal="center"/>
    </xf>
    <xf numFmtId="0" fontId="75" fillId="25" borderId="0" xfId="0" applyFont="1" applyFill="1" applyAlignment="1">
      <alignment horizontal="center"/>
    </xf>
    <xf numFmtId="0" fontId="76" fillId="12" borderId="0" xfId="0" applyFont="1" applyFill="1" applyAlignment="1">
      <alignment horizontal="center"/>
    </xf>
    <xf numFmtId="0" fontId="77" fillId="3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2" fontId="74" fillId="23" borderId="0" xfId="0" applyNumberFormat="1" applyFont="1" applyFill="1" applyAlignment="1">
      <alignment horizontal="center"/>
    </xf>
    <xf numFmtId="15" fontId="71" fillId="7" borderId="0" xfId="0" applyNumberFormat="1" applyFont="1" applyFill="1" applyAlignment="1">
      <alignment horizontal="left" vertical="center"/>
    </xf>
    <xf numFmtId="0" fontId="71" fillId="7" borderId="0" xfId="0" applyFont="1" applyFill="1" applyAlignment="1">
      <alignment horizontal="left" vertical="center"/>
    </xf>
    <xf numFmtId="0" fontId="71" fillId="7" borderId="0" xfId="0" applyFont="1" applyFill="1" applyAlignment="1">
      <alignment horizontal="left" vertical="center" wrapText="1"/>
    </xf>
    <xf numFmtId="49" fontId="1" fillId="38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 readingOrder="1"/>
    </xf>
    <xf numFmtId="1" fontId="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 readingOrder="1"/>
    </xf>
    <xf numFmtId="0" fontId="81" fillId="0" borderId="0" xfId="0" applyFont="1"/>
    <xf numFmtId="0" fontId="71" fillId="4" borderId="0" xfId="0" applyFont="1" applyFill="1" applyAlignment="1">
      <alignment horizontal="left" vertical="center"/>
    </xf>
    <xf numFmtId="0" fontId="82" fillId="0" borderId="0" xfId="0" applyFont="1"/>
    <xf numFmtId="15" fontId="71" fillId="0" borderId="0" xfId="0" applyNumberFormat="1" applyFont="1" applyAlignment="1">
      <alignment horizontal="center" vertical="center"/>
    </xf>
    <xf numFmtId="15" fontId="80" fillId="0" borderId="0" xfId="0" applyNumberFormat="1" applyFont="1" applyAlignment="1">
      <alignment horizontal="center" vertical="center"/>
    </xf>
    <xf numFmtId="15" fontId="71" fillId="7" borderId="0" xfId="0" applyNumberFormat="1" applyFont="1" applyFill="1" applyAlignment="1">
      <alignment horizontal="center" vertical="center"/>
    </xf>
    <xf numFmtId="15" fontId="71" fillId="4" borderId="0" xfId="0" applyNumberFormat="1" applyFont="1" applyFill="1" applyAlignment="1">
      <alignment horizontal="center" vertical="center"/>
    </xf>
    <xf numFmtId="0" fontId="71" fillId="16" borderId="0" xfId="0" applyFont="1" applyFill="1" applyAlignment="1">
      <alignment horizontal="left" vertical="center"/>
    </xf>
    <xf numFmtId="0" fontId="0" fillId="16" borderId="0" xfId="0" applyFill="1" applyAlignment="1">
      <alignment horizontal="center" vertical="center"/>
    </xf>
    <xf numFmtId="0" fontId="67" fillId="4" borderId="53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 wrapText="1"/>
    </xf>
    <xf numFmtId="0" fontId="71" fillId="7" borderId="0" xfId="0" applyFont="1" applyFill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0" fontId="0" fillId="39" borderId="0" xfId="0" applyFill="1" applyAlignment="1">
      <alignment horizontal="center" vertical="center" wrapText="1"/>
    </xf>
    <xf numFmtId="0" fontId="21" fillId="0" borderId="0" xfId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0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71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3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0" xfId="0" applyBorder="1" applyAlignment="1">
      <alignment horizontal="center" vertical="center" wrapText="1"/>
    </xf>
    <xf numFmtId="0" fontId="81" fillId="0" borderId="0" xfId="0" applyFont="1" applyAlignment="1">
      <alignment wrapText="1"/>
    </xf>
    <xf numFmtId="0" fontId="0" fillId="38" borderId="0" xfId="0" applyFill="1" applyAlignment="1">
      <alignment horizontal="center" vertical="center" wrapText="1"/>
    </xf>
    <xf numFmtId="0" fontId="0" fillId="38" borderId="0" xfId="0" applyFill="1" applyAlignment="1">
      <alignment horizontal="center" vertical="center"/>
    </xf>
    <xf numFmtId="0" fontId="71" fillId="38" borderId="0" xfId="0" applyFont="1" applyFill="1" applyAlignment="1">
      <alignment horizontal="left" vertical="center"/>
    </xf>
    <xf numFmtId="0" fontId="67" fillId="38" borderId="53" xfId="0" applyFont="1" applyFill="1" applyBorder="1" applyAlignment="1">
      <alignment horizontal="center" vertical="center"/>
    </xf>
    <xf numFmtId="0" fontId="21" fillId="38" borderId="0" xfId="1" applyFill="1" applyAlignment="1">
      <alignment horizontal="center" vertical="center" wrapText="1"/>
    </xf>
    <xf numFmtId="49" fontId="40" fillId="3" borderId="10" xfId="0" applyNumberFormat="1" applyFont="1" applyFill="1" applyBorder="1" applyAlignment="1">
      <alignment horizontal="center" vertical="center"/>
    </xf>
    <xf numFmtId="49" fontId="40" fillId="7" borderId="10" xfId="0" applyNumberFormat="1" applyFont="1" applyFill="1" applyBorder="1" applyAlignment="1">
      <alignment horizontal="center" vertical="center"/>
    </xf>
    <xf numFmtId="167" fontId="40" fillId="3" borderId="10" xfId="0" applyNumberFormat="1" applyFont="1" applyFill="1" applyBorder="1" applyAlignment="1">
      <alignment horizontal="center" vertical="center"/>
    </xf>
    <xf numFmtId="167" fontId="40" fillId="7" borderId="10" xfId="0" applyNumberFormat="1" applyFont="1" applyFill="1" applyBorder="1" applyAlignment="1">
      <alignment horizontal="center" vertical="center"/>
    </xf>
    <xf numFmtId="1" fontId="40" fillId="7" borderId="0" xfId="0" applyNumberFormat="1" applyFont="1" applyFill="1" applyAlignment="1">
      <alignment horizontal="center" vertical="center"/>
    </xf>
    <xf numFmtId="167" fontId="40" fillId="3" borderId="10" xfId="0" applyNumberFormat="1" applyFont="1" applyFill="1" applyBorder="1" applyAlignment="1">
      <alignment horizontal="center" vertical="center" wrapText="1"/>
    </xf>
    <xf numFmtId="167" fontId="40" fillId="7" borderId="10" xfId="0" applyNumberFormat="1" applyFont="1" applyFill="1" applyBorder="1" applyAlignment="1">
      <alignment horizontal="center" vertical="center" wrapText="1"/>
    </xf>
    <xf numFmtId="1" fontId="0" fillId="3" borderId="19" xfId="0" applyNumberFormat="1" applyFill="1" applyBorder="1" applyAlignment="1">
      <alignment horizontal="center"/>
    </xf>
    <xf numFmtId="1" fontId="0" fillId="15" borderId="19" xfId="0" applyNumberFormat="1" applyFill="1" applyBorder="1" applyAlignment="1">
      <alignment horizontal="center"/>
    </xf>
    <xf numFmtId="1" fontId="0" fillId="15" borderId="25" xfId="0" applyNumberFormat="1" applyFill="1" applyBorder="1" applyAlignment="1">
      <alignment horizontal="center"/>
    </xf>
    <xf numFmtId="168" fontId="0" fillId="0" borderId="74" xfId="0" applyNumberFormat="1" applyBorder="1" applyAlignment="1">
      <alignment horizontal="center" vertical="center"/>
    </xf>
    <xf numFmtId="168" fontId="0" fillId="0" borderId="76" xfId="0" applyNumberFormat="1" applyBorder="1" applyAlignment="1">
      <alignment horizontal="center" vertical="center" wrapText="1"/>
    </xf>
    <xf numFmtId="168" fontId="0" fillId="0" borderId="78" xfId="0" applyNumberFormat="1" applyBorder="1" applyAlignment="1">
      <alignment horizontal="center" vertical="center"/>
    </xf>
    <xf numFmtId="168" fontId="0" fillId="0" borderId="81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33" fillId="3" borderId="11" xfId="0" applyFont="1" applyFill="1" applyBorder="1" applyAlignment="1">
      <alignment horizontal="left"/>
    </xf>
    <xf numFmtId="169" fontId="83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84" fillId="41" borderId="0" xfId="0" applyFont="1" applyFill="1" applyAlignment="1">
      <alignment horizontal="center"/>
    </xf>
    <xf numFmtId="1" fontId="40" fillId="3" borderId="18" xfId="0" applyNumberFormat="1" applyFont="1" applyFill="1" applyBorder="1" applyAlignment="1">
      <alignment horizontal="center" vertical="center"/>
    </xf>
    <xf numFmtId="1" fontId="40" fillId="7" borderId="18" xfId="0" applyNumberFormat="1" applyFont="1" applyFill="1" applyBorder="1" applyAlignment="1">
      <alignment horizontal="center" vertical="center"/>
    </xf>
    <xf numFmtId="0" fontId="0" fillId="0" borderId="83" xfId="0" applyBorder="1"/>
    <xf numFmtId="167" fontId="0" fillId="42" borderId="84" xfId="0" applyNumberFormat="1" applyFill="1" applyBorder="1"/>
    <xf numFmtId="0" fontId="0" fillId="42" borderId="84" xfId="0" applyFill="1" applyBorder="1" applyAlignment="1">
      <alignment wrapText="1"/>
    </xf>
    <xf numFmtId="0" fontId="0" fillId="0" borderId="83" xfId="0" applyBorder="1" applyAlignment="1">
      <alignment wrapText="1"/>
    </xf>
    <xf numFmtId="0" fontId="85" fillId="0" borderId="84" xfId="0" applyFont="1" applyBorder="1"/>
    <xf numFmtId="1" fontId="0" fillId="0" borderId="0" xfId="0" applyNumberFormat="1"/>
    <xf numFmtId="167" fontId="0" fillId="0" borderId="0" xfId="0" applyNumberFormat="1" applyAlignment="1">
      <alignment vertical="center" wrapText="1"/>
    </xf>
    <xf numFmtId="1" fontId="40" fillId="3" borderId="18" xfId="0" applyNumberFormat="1" applyFont="1" applyFill="1" applyBorder="1" applyAlignment="1">
      <alignment horizontal="center" vertical="center" wrapText="1"/>
    </xf>
    <xf numFmtId="1" fontId="40" fillId="7" borderId="1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readingOrder="1"/>
    </xf>
    <xf numFmtId="49" fontId="4" fillId="38" borderId="0" xfId="0" applyNumberFormat="1" applyFont="1" applyFill="1" applyAlignment="1">
      <alignment horizontal="center" vertical="center" wrapText="1"/>
    </xf>
    <xf numFmtId="0" fontId="6" fillId="43" borderId="85" xfId="0" applyFont="1" applyFill="1" applyBorder="1" applyAlignment="1">
      <alignment horizontal="center" vertical="center" readingOrder="1"/>
    </xf>
    <xf numFmtId="0" fontId="6" fillId="44" borderId="85" xfId="0" applyFont="1" applyFill="1" applyBorder="1" applyAlignment="1">
      <alignment horizontal="center" vertical="center" readingOrder="1"/>
    </xf>
    <xf numFmtId="15" fontId="18" fillId="39" borderId="1" xfId="0" applyNumberFormat="1" applyFont="1" applyFill="1" applyBorder="1" applyAlignment="1">
      <alignment horizontal="center" vertical="center" wrapText="1" readingOrder="1"/>
    </xf>
    <xf numFmtId="0" fontId="0" fillId="39" borderId="0" xfId="0" applyFill="1" applyAlignment="1">
      <alignment horizontal="center" vertical="center"/>
    </xf>
    <xf numFmtId="0" fontId="6" fillId="43" borderId="86" xfId="0" applyFont="1" applyFill="1" applyBorder="1" applyAlignment="1">
      <alignment horizontal="center" vertical="center"/>
    </xf>
    <xf numFmtId="0" fontId="6" fillId="44" borderId="86" xfId="0" applyFont="1" applyFill="1" applyBorder="1" applyAlignment="1">
      <alignment horizontal="center" vertical="center"/>
    </xf>
    <xf numFmtId="0" fontId="38" fillId="11" borderId="0" xfId="0" applyFont="1" applyFill="1"/>
    <xf numFmtId="0" fontId="0" fillId="11" borderId="0" xfId="0" applyFill="1"/>
    <xf numFmtId="0" fontId="48" fillId="17" borderId="0" xfId="0" applyFont="1" applyFill="1" applyAlignment="1">
      <alignment horizontal="center" vertical="center"/>
    </xf>
    <xf numFmtId="0" fontId="49" fillId="17" borderId="0" xfId="0" applyFont="1" applyFill="1" applyAlignment="1">
      <alignment horizontal="center" vertical="center"/>
    </xf>
    <xf numFmtId="0" fontId="50" fillId="17" borderId="0" xfId="0" applyFont="1" applyFill="1" applyAlignment="1">
      <alignment horizontal="center" vertical="center"/>
    </xf>
    <xf numFmtId="0" fontId="39" fillId="40" borderId="5" xfId="0" applyFont="1" applyFill="1" applyBorder="1" applyAlignment="1">
      <alignment horizontal="center"/>
    </xf>
    <xf numFmtId="0" fontId="39" fillId="40" borderId="0" xfId="0" applyFont="1" applyFill="1" applyAlignment="1">
      <alignment horizontal="center"/>
    </xf>
    <xf numFmtId="0" fontId="39" fillId="40" borderId="82" xfId="0" applyFont="1" applyFill="1" applyBorder="1" applyAlignment="1">
      <alignment horizontal="center"/>
    </xf>
    <xf numFmtId="0" fontId="39" fillId="40" borderId="32" xfId="0" applyFont="1" applyFill="1" applyBorder="1" applyAlignment="1">
      <alignment horizontal="center"/>
    </xf>
    <xf numFmtId="0" fontId="39" fillId="24" borderId="39" xfId="0" applyFont="1" applyFill="1" applyBorder="1" applyAlignment="1">
      <alignment horizontal="center"/>
    </xf>
    <xf numFmtId="0" fontId="0" fillId="7" borderId="37" xfId="0" applyFill="1" applyBorder="1"/>
    <xf numFmtId="0" fontId="0" fillId="7" borderId="42" xfId="0" applyFill="1" applyBorder="1"/>
    <xf numFmtId="0" fontId="61" fillId="25" borderId="52" xfId="0" applyFont="1" applyFill="1" applyBorder="1" applyAlignment="1">
      <alignment horizontal="center"/>
    </xf>
    <xf numFmtId="0" fontId="61" fillId="25" borderId="37" xfId="0" applyFont="1" applyFill="1" applyBorder="1" applyAlignment="1">
      <alignment horizontal="center"/>
    </xf>
    <xf numFmtId="0" fontId="61" fillId="25" borderId="42" xfId="0" applyFont="1" applyFill="1" applyBorder="1" applyAlignment="1">
      <alignment horizontal="center"/>
    </xf>
    <xf numFmtId="0" fontId="52" fillId="32" borderId="0" xfId="0" applyFont="1" applyFill="1" applyAlignment="1">
      <alignment horizontal="center" vertical="center"/>
    </xf>
    <xf numFmtId="0" fontId="0" fillId="32" borderId="0" xfId="0" applyFill="1"/>
    <xf numFmtId="0" fontId="53" fillId="25" borderId="39" xfId="0" applyFont="1" applyFill="1" applyBorder="1" applyAlignment="1">
      <alignment horizontal="center"/>
    </xf>
    <xf numFmtId="0" fontId="39" fillId="30" borderId="39" xfId="0" applyFont="1" applyFill="1" applyBorder="1" applyAlignment="1">
      <alignment horizontal="center"/>
    </xf>
    <xf numFmtId="0" fontId="37" fillId="20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78" fillId="26" borderId="0" xfId="0" applyFont="1" applyFill="1" applyAlignment="1">
      <alignment horizontal="center"/>
    </xf>
    <xf numFmtId="0" fontId="79" fillId="11" borderId="0" xfId="0" applyFont="1" applyFill="1" applyAlignment="1">
      <alignment horizontal="center"/>
    </xf>
    <xf numFmtId="0" fontId="63" fillId="33" borderId="0" xfId="0" applyFont="1" applyFill="1" applyAlignment="1">
      <alignment horizontal="center"/>
    </xf>
    <xf numFmtId="0" fontId="37" fillId="34" borderId="0" xfId="0" applyFont="1" applyFill="1" applyAlignment="1">
      <alignment horizontal="center"/>
    </xf>
    <xf numFmtId="0" fontId="37" fillId="18" borderId="0" xfId="0" applyFont="1" applyFill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236"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9D174D"/>
      </font>
      <fill>
        <patternFill patternType="solid">
          <fgColor indexed="64"/>
          <bgColor rgb="FFFCE7F3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9D174D"/>
      </font>
      <fill>
        <patternFill patternType="solid">
          <fgColor indexed="64"/>
          <bgColor rgb="FFFCE7F3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9D174D"/>
      </font>
      <fill>
        <patternFill patternType="solid">
          <fgColor indexed="64"/>
          <bgColor rgb="FFFCE7F3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B45309"/>
      </font>
      <fill>
        <patternFill patternType="solid">
          <fgColor indexed="64"/>
          <bgColor rgb="FFFEF3C7"/>
        </patternFill>
      </fill>
    </dxf>
    <dxf>
      <font>
        <color rgb="FFB45309"/>
      </font>
      <fill>
        <patternFill patternType="solid">
          <fgColor indexed="64"/>
          <bgColor rgb="FFFEF3C7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7C3AED"/>
      </font>
      <fill>
        <patternFill patternType="solid">
          <fgColor indexed="64"/>
          <bgColor rgb="FFE9D5FF"/>
        </patternFill>
      </fill>
    </dxf>
    <dxf>
      <font>
        <color rgb="FFC2410C"/>
      </font>
      <fill>
        <patternFill patternType="solid">
          <fgColor indexed="64"/>
          <bgColor rgb="FFFED7AA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C2410C"/>
      </font>
      <fill>
        <patternFill patternType="solid">
          <fgColor indexed="64"/>
          <bgColor rgb="FFFED7AA"/>
        </patternFill>
      </fill>
    </dxf>
    <dxf>
      <font>
        <color rgb="FF7C3AED"/>
      </font>
      <fill>
        <patternFill patternType="solid">
          <fgColor indexed="64"/>
          <bgColor rgb="FFE9D5FF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C2410C"/>
      </font>
      <fill>
        <patternFill patternType="solid">
          <fgColor indexed="64"/>
          <bgColor rgb="FFFED7AA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7C3AED"/>
      </font>
      <fill>
        <patternFill patternType="solid">
          <fgColor indexed="64"/>
          <bgColor rgb="FFE9D5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9D174D"/>
      </font>
      <fill>
        <patternFill patternType="solid">
          <fgColor indexed="64"/>
          <bgColor rgb="FFFCE7F3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9D174D"/>
      </font>
      <fill>
        <patternFill patternType="solid">
          <fgColor indexed="64"/>
          <bgColor rgb="FFFCE7F3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9D174D"/>
      </font>
      <fill>
        <patternFill patternType="solid">
          <fgColor indexed="64"/>
          <bgColor rgb="FFFCE7F3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7C3AED"/>
      </font>
      <fill>
        <patternFill patternType="solid">
          <fgColor indexed="64"/>
          <bgColor rgb="FFE9D5FF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C2410C"/>
      </font>
      <fill>
        <patternFill patternType="solid">
          <fgColor indexed="64"/>
          <bgColor rgb="FFFED7AA"/>
        </patternFill>
      </fill>
    </dxf>
    <dxf>
      <font>
        <color rgb="FFBE185D"/>
      </font>
      <fill>
        <patternFill patternType="solid">
          <fgColor indexed="64"/>
          <bgColor rgb="FFFCE7F3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9D174D"/>
      </font>
      <fill>
        <patternFill patternType="solid">
          <fgColor indexed="64"/>
          <bgColor rgb="FFFCE7F3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C2410C"/>
      </font>
      <fill>
        <patternFill patternType="solid">
          <fgColor indexed="64"/>
          <bgColor rgb="FFFED7AA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7C3AED"/>
      </font>
      <fill>
        <patternFill patternType="solid">
          <fgColor indexed="64"/>
          <bgColor rgb="FFE9D5FF"/>
        </patternFill>
      </fill>
    </dxf>
    <dxf>
      <font>
        <color rgb="FFDC2626"/>
      </font>
      <fill>
        <patternFill patternType="solid">
          <fgColor indexed="64"/>
          <bgColor rgb="FFFEE2E2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0E7490"/>
      </font>
      <fill>
        <patternFill patternType="solid">
          <fgColor indexed="64"/>
          <bgColor rgb="FFCFFAFE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B45309"/>
      </font>
      <fill>
        <patternFill patternType="solid">
          <fgColor indexed="64"/>
          <bgColor rgb="FFFEF3C7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92400E"/>
      </font>
      <fill>
        <patternFill patternType="solid">
          <fgColor indexed="64"/>
          <bgColor rgb="FFFEF3C7"/>
        </patternFill>
      </fill>
    </dxf>
    <dxf>
      <font>
        <color rgb="FF7C3AED"/>
      </font>
      <fill>
        <patternFill patternType="solid">
          <fgColor indexed="64"/>
          <bgColor rgb="FFE9D5FF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C2410C"/>
      </font>
      <fill>
        <patternFill patternType="solid">
          <fgColor indexed="64"/>
          <bgColor rgb="FFFED7AA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C2410C"/>
      </font>
      <fill>
        <patternFill patternType="solid">
          <fgColor indexed="64"/>
          <bgColor rgb="FFFED7AA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7C3AED"/>
      </font>
      <fill>
        <patternFill patternType="solid">
          <fgColor indexed="64"/>
          <bgColor rgb="FFE9D5FF"/>
        </patternFill>
      </fill>
    </dxf>
    <dxf>
      <font>
        <color rgb="FF1E40AF"/>
      </font>
      <fill>
        <patternFill patternType="solid">
          <fgColor indexed="64"/>
          <bgColor rgb="FFDBEAFE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9A3412"/>
      </font>
      <fill>
        <patternFill patternType="solid">
          <fgColor indexed="64"/>
          <bgColor rgb="FFFED7AA"/>
        </patternFill>
      </fill>
    </dxf>
    <dxf>
      <font>
        <color rgb="FF6B21A8"/>
      </font>
      <fill>
        <patternFill patternType="solid">
          <fgColor indexed="64"/>
          <bgColor rgb="FFE9D5FF"/>
        </patternFill>
      </fill>
    </dxf>
    <dxf>
      <font>
        <color rgb="FF374151"/>
      </font>
      <fill>
        <patternFill patternType="solid">
          <fgColor indexed="64"/>
          <bgColor rgb="FFE5E7E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DC2626"/>
      </font>
      <fill>
        <patternFill patternType="solid">
          <fgColor indexed="64"/>
          <bgColor rgb="FFFEE2E2"/>
        </patternFill>
      </fill>
    </dxf>
    <dxf>
      <font>
        <color rgb="FF166534"/>
      </font>
      <fill>
        <patternFill patternType="solid">
          <fgColor indexed="64"/>
          <bgColor rgb="FFDCFCE7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059669"/>
      </font>
      <fill>
        <patternFill patternType="solid">
          <fgColor indexed="64"/>
          <bgColor rgb="FFD1FAE5"/>
        </patternFill>
      </fill>
    </dxf>
    <dxf>
      <font>
        <color rgb="FFD97706"/>
      </font>
      <fill>
        <patternFill patternType="solid">
          <fgColor indexed="64"/>
          <bgColor rgb="FFFEF3C7"/>
        </patternFill>
      </fill>
    </dxf>
    <dxf>
      <font>
        <b/>
        <i val="0"/>
        <color rgb="FFDC2626"/>
      </font>
      <fill>
        <patternFill patternType="solid">
          <fgColor indexed="64"/>
          <bgColor rgb="FFFEE2E2"/>
        </patternFill>
      </fill>
    </dxf>
    <dxf>
      <font>
        <color rgb="FF059669"/>
      </font>
      <fill>
        <patternFill patternType="solid">
          <fgColor indexed="64"/>
          <bgColor rgb="FFD1FAE5"/>
        </patternFill>
      </fill>
    </dxf>
    <dxf>
      <font>
        <color rgb="FFD97706"/>
      </font>
      <fill>
        <patternFill patternType="solid">
          <fgColor indexed="64"/>
          <bgColor rgb="FFFEF3C7"/>
        </patternFill>
      </fill>
    </dxf>
    <dxf>
      <font>
        <b/>
        <i val="0"/>
        <color rgb="FFDC2626"/>
      </font>
      <fill>
        <patternFill patternType="solid">
          <fgColor indexed="64"/>
          <bgColor rgb="FFFEE2E2"/>
        </patternFill>
      </fill>
    </dxf>
    <dxf>
      <font>
        <color rgb="FFDC2626"/>
      </font>
      <fill>
        <patternFill patternType="solid">
          <fgColor indexed="64"/>
          <bgColor rgb="FFFEE2E2"/>
        </patternFill>
      </fill>
    </dxf>
    <dxf>
      <font>
        <color rgb="FFD97706"/>
      </font>
      <fill>
        <patternFill patternType="solid">
          <fgColor indexed="64"/>
          <bgColor rgb="FFFEF3C7"/>
        </patternFill>
      </fill>
    </dxf>
    <dxf>
      <font>
        <b/>
        <i val="0"/>
        <color rgb="FF059669"/>
      </font>
      <fill>
        <patternFill patternType="solid">
          <fgColor indexed="64"/>
          <bgColor rgb="FFD1FAE5"/>
        </patternFill>
      </fill>
    </dxf>
    <dxf>
      <numFmt numFmtId="167" formatCode="dd\-mmm\-yyyy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" formatCode="0"/>
      <alignment horizontal="center" vertical="center"/>
    </dxf>
    <dxf>
      <alignment horizontal="center" vertical="center"/>
    </dxf>
    <dxf>
      <alignment horizontal="center" vertical="center"/>
    </dxf>
    <dxf>
      <alignment vertical="center" textRotation="0" wrapText="1" indent="0" justifyLastLine="0" shrinkToFit="0" readingOrder="0"/>
    </dxf>
    <dxf>
      <numFmt numFmtId="167" formatCode="dd\-mmm\-yyyy"/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3" formatCode="#,##0"/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165" formatCode="\+0"/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/>
      </font>
      <fill>
        <patternFill patternType="solid">
          <fgColor indexed="64"/>
          <bgColor theme="8"/>
        </patternFill>
      </fill>
      <alignment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FF00"/>
          <bgColor rgb="FFBDFF00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8DEB5"/>
          <bgColor rgb="FF08DEB5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8DEB5"/>
          <bgColor rgb="FF08DEB5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7">
    <tableStyle name="Projects Follow UP-style" pivot="0" count="4" xr9:uid="{00000000-0011-0000-FFFF-FFFF00000000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Social Media Project News-style" pivot="0" count="4" xr9:uid="{00000000-0011-0000-FFFF-FFFF01000000}">
      <tableStyleElement type="wholeTable" size="0" dxfId="231"/>
      <tableStyleElement type="headerRow" dxfId="230"/>
      <tableStyleElement type="firstRowStripe" dxfId="229"/>
      <tableStyleElement type="secondRowStripe" dxfId="228"/>
    </tableStyle>
    <tableStyle name="Hotel Visits Plan-style" pivot="0" count="4" xr9:uid="{00000000-0011-0000-FFFF-FFFF02000000}">
      <tableStyleElement type="wholeTable" size="0" dxfId="227"/>
      <tableStyleElement type="headerRow" dxfId="226"/>
      <tableStyleElement type="firstRowStripe" dxfId="225"/>
      <tableStyleElement type="secondRowStripe" dxfId="224"/>
    </tableStyle>
    <tableStyle name="Weekly Plan-style" pivot="0" count="4" xr9:uid="{00000000-0011-0000-FFFF-FFFF03000000}">
      <tableStyleElement type="wholeTable" size="0" dxfId="223"/>
      <tableStyleElement type="headerRow" dxfId="222"/>
      <tableStyleElement type="firstRowStripe" dxfId="221"/>
      <tableStyleElement type="secondRowStripe" dxfId="220"/>
    </tableStyle>
    <tableStyle name="Hot Leads-style" pivot="0" count="4" xr9:uid="{00000000-0011-0000-FFFF-FFFF04000000}">
      <tableStyleElement type="wholeTable" size="0" dxfId="219"/>
      <tableStyleElement type="headerRow" dxfId="218"/>
      <tableStyleElement type="firstRowStripe" dxfId="217"/>
      <tableStyleElement type="secondRowStripe" dxfId="216"/>
    </tableStyle>
    <tableStyle name="Daily Report-style" pivot="0" count="4" xr9:uid="{00000000-0011-0000-FFFF-FFFF05000000}">
      <tableStyleElement type="wholeTable" size="0" dxfId="215"/>
      <tableStyleElement type="headerRow" dxfId="214"/>
      <tableStyleElement type="firstRowStripe" dxfId="213"/>
      <tableStyleElement type="secondRowStripe" dxfId="212"/>
    </tableStyle>
    <tableStyle name="VIP-style" pivot="0" count="4" xr9:uid="{00000000-0011-0000-FFFF-FFFF06000000}">
      <tableStyleElement type="wholeTable" size="0" dxfId="211"/>
      <tableStyleElement type="headerRow" dxfId="210"/>
      <tableStyleElement type="firstRowStripe" dxfId="209"/>
      <tableStyleElement type="secondRowStripe" dxfId="208"/>
    </tableStyle>
  </tableStyles>
  <colors>
    <mruColors>
      <color rgb="FF121041"/>
      <color rgb="FF1E293B"/>
      <color rgb="FFF8FAFC"/>
      <color rgb="FF6C9C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E293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E293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8B-430C-936B-EBC4621489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8B-430C-936B-EBC4621489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8B-430C-936B-EBC4621489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8B-430C-936B-EBC4621489A9}"/>
              </c:ext>
            </c:extLst>
          </c:dPt>
          <c:cat>
            <c:strRef>
              <c:f>Dashboard!$B$22:$B$25</c:f>
              <c:strCache>
                <c:ptCount val="4"/>
                <c:pt idx="0">
                  <c:v>In Hand</c:v>
                </c:pt>
                <c:pt idx="1">
                  <c:v>Tender</c:v>
                </c:pt>
                <c:pt idx="2">
                  <c:v>Won</c:v>
                </c:pt>
                <c:pt idx="3">
                  <c:v>Lost</c:v>
                </c:pt>
              </c:strCache>
            </c:strRef>
          </c:cat>
          <c:val>
            <c:numRef>
              <c:f>Dashboard!$C$22:$C$25</c:f>
              <c:numCache>
                <c:formatCode>General</c:formatCode>
                <c:ptCount val="4"/>
                <c:pt idx="0">
                  <c:v>16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8-4B3A-B7BA-6B5F34828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E293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E293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92-4302-AEC2-5CA7C983C8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92-4302-AEC2-5CA7C983C8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92-4302-AEC2-5CA7C983C8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92-4302-AEC2-5CA7C983C8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92-4302-AEC2-5CA7C983C8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92-4302-AEC2-5CA7C983C86E}"/>
              </c:ext>
            </c:extLst>
          </c:dPt>
          <c:cat>
            <c:strRef>
              <c:f>Dashboard!$D$22:$D$27</c:f>
              <c:strCache>
                <c:ptCount val="6"/>
                <c:pt idx="0">
                  <c:v>Jeddah</c:v>
                </c:pt>
                <c:pt idx="1">
                  <c:v>Makkah</c:v>
                </c:pt>
                <c:pt idx="2">
                  <c:v>Madinah</c:v>
                </c:pt>
                <c:pt idx="3">
                  <c:v>Riyadh</c:v>
                </c:pt>
                <c:pt idx="4">
                  <c:v>Khobar</c:v>
                </c:pt>
                <c:pt idx="5">
                  <c:v>Other</c:v>
                </c:pt>
              </c:strCache>
            </c:strRef>
          </c:cat>
          <c:val>
            <c:numRef>
              <c:f>Dashboard!$E$22:$E$27</c:f>
              <c:numCache>
                <c:formatCode>General</c:formatCode>
                <c:ptCount val="6"/>
                <c:pt idx="0">
                  <c:v>10</c:v>
                </c:pt>
                <c:pt idx="1">
                  <c:v>6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E-48CA-A90F-66C6707D0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E293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E293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Dashboard!$F$22:$F$26</c:f>
              <c:strCache>
                <c:ptCount val="5"/>
                <c:pt idx="0">
                  <c:v>RFQ Processing</c:v>
                </c:pt>
                <c:pt idx="1">
                  <c:v>Negotiation</c:v>
                </c:pt>
                <c:pt idx="2">
                  <c:v>Gather Info</c:v>
                </c:pt>
                <c:pt idx="3">
                  <c:v>Send to Client</c:v>
                </c:pt>
                <c:pt idx="4">
                  <c:v>Closed</c:v>
                </c:pt>
              </c:strCache>
            </c:strRef>
          </c:cat>
          <c:val>
            <c:numRef>
              <c:f>Dashboard!$G$22:$G$26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11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5-4B53-A415-939262957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1200264"/>
        <c:axId val="1551202312"/>
      </c:barChart>
      <c:catAx>
        <c:axId val="155120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202312"/>
        <c:crosses val="autoZero"/>
        <c:auto val="1"/>
        <c:lblAlgn val="ctr"/>
        <c:lblOffset val="100"/>
        <c:noMultiLvlLbl val="0"/>
      </c:catAx>
      <c:valAx>
        <c:axId val="155120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200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E293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 vs Actual Activities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E293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Dashboard!$B$77:$B$82</c:f>
              <c:strCache>
                <c:ptCount val="6"/>
                <c:pt idx="0">
                  <c:v>Week 33</c:v>
                </c:pt>
                <c:pt idx="1">
                  <c:v>Week 34</c:v>
                </c:pt>
                <c:pt idx="2">
                  <c:v>Week 35</c:v>
                </c:pt>
                <c:pt idx="3">
                  <c:v>Week 36</c:v>
                </c:pt>
                <c:pt idx="4">
                  <c:v>Week 37</c:v>
                </c:pt>
                <c:pt idx="5">
                  <c:v>Week 38</c:v>
                </c:pt>
              </c:strCache>
            </c:strRef>
          </c:cat>
          <c:val>
            <c:numRef>
              <c:f>Dashboard!$C$77:$C$82</c:f>
              <c:numCache>
                <c:formatCode>0</c:formatCode>
                <c:ptCount val="6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37</c:v>
                </c:pt>
                <c:pt idx="4">
                  <c:v>34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1-458F-A6D5-E6F42571FC1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Dashboard!$B$77:$B$82</c:f>
              <c:strCache>
                <c:ptCount val="6"/>
                <c:pt idx="0">
                  <c:v>Week 33</c:v>
                </c:pt>
                <c:pt idx="1">
                  <c:v>Week 34</c:v>
                </c:pt>
                <c:pt idx="2">
                  <c:v>Week 35</c:v>
                </c:pt>
                <c:pt idx="3">
                  <c:v>Week 36</c:v>
                </c:pt>
                <c:pt idx="4">
                  <c:v>Week 37</c:v>
                </c:pt>
                <c:pt idx="5">
                  <c:v>Week 38</c:v>
                </c:pt>
              </c:strCache>
            </c:strRef>
          </c:cat>
          <c:val>
            <c:numRef>
              <c:f>Dashboard!$D$77:$D$82</c:f>
              <c:numCache>
                <c:formatCode>0</c:formatCode>
                <c:ptCount val="6"/>
                <c:pt idx="0">
                  <c:v>33</c:v>
                </c:pt>
                <c:pt idx="1">
                  <c:v>23</c:v>
                </c:pt>
                <c:pt idx="2">
                  <c:v>22</c:v>
                </c:pt>
                <c:pt idx="3">
                  <c:v>26</c:v>
                </c:pt>
                <c:pt idx="4">
                  <c:v>16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E1-458F-A6D5-E6F42571F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770887"/>
        <c:axId val="655298055"/>
      </c:barChart>
      <c:catAx>
        <c:axId val="635770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298055"/>
        <c:crosses val="autoZero"/>
        <c:auto val="1"/>
        <c:lblAlgn val="ctr"/>
        <c:lblOffset val="100"/>
        <c:noMultiLvlLbl val="0"/>
      </c:catAx>
      <c:valAx>
        <c:axId val="655298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7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gif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3</xdr:col>
      <xdr:colOff>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C6D34-051B-53DE-721C-2EC549B0C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27</xdr:row>
      <xdr:rowOff>0</xdr:rowOff>
    </xdr:from>
    <xdr:to>
      <xdr:col>5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579872-F720-5A1A-B7E6-718B077097E7}"/>
            </a:ext>
            <a:ext uri="{147F2762-F138-4A5C-976F-8EAC2B608ADB}">
              <a16:predDERef xmlns:a16="http://schemas.microsoft.com/office/drawing/2014/main" pred="{964C6D34-051B-53DE-721C-2EC549B0C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27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A2CF3A-7836-A968-1825-80F843181475}"/>
            </a:ext>
            <a:ext uri="{147F2762-F138-4A5C-976F-8EAC2B608ADB}">
              <a16:predDERef xmlns:a16="http://schemas.microsoft.com/office/drawing/2014/main" pred="{4C579872-F720-5A1A-B7E6-718B07709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1743075</xdr:colOff>
      <xdr:row>74</xdr:row>
      <xdr:rowOff>9525</xdr:rowOff>
    </xdr:from>
    <xdr:to>
      <xdr:col>8</xdr:col>
      <xdr:colOff>19050</xdr:colOff>
      <xdr:row>86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23676F-3506-6BA6-D82E-FCEF36DD0B28}"/>
            </a:ext>
            <a:ext uri="{147F2762-F138-4A5C-976F-8EAC2B608ADB}">
              <a16:predDERef xmlns:a16="http://schemas.microsoft.com/office/drawing/2014/main" pred="{BCA2CF3A-7836-A968-1825-80F843181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1133475</xdr:colOff>
      <xdr:row>4</xdr:row>
      <xdr:rowOff>19050</xdr:rowOff>
    </xdr:from>
    <xdr:to>
      <xdr:col>5</xdr:col>
      <xdr:colOff>1812683</xdr:colOff>
      <xdr:row>6</xdr:row>
      <xdr:rowOff>93493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0F2297-8187-B721-CF94-ACD8F9DB4589}"/>
            </a:ext>
            <a:ext uri="{147F2762-F138-4A5C-976F-8EAC2B608ADB}">
              <a16:predDERef xmlns:a16="http://schemas.microsoft.com/office/drawing/2014/main" pred="{7F23676F-3506-6BA6-D82E-FCEF36DD0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41833" b="39000"/>
        <a:stretch>
          <a:fillRect/>
        </a:stretch>
      </xdr:blipFill>
      <xdr:spPr>
        <a:xfrm>
          <a:off x="4457700" y="1276350"/>
          <a:ext cx="4565408" cy="87454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_Follow_UP" displayName="Projects_Follow_UP" ref="A4:S139" headerRowDxfId="207" dataDxfId="206" totalsRowDxfId="205">
  <autoFilter ref="A4:S139" xr:uid="{00000000-000C-0000-FFFF-FFFF00000000}"/>
  <tableColumns count="19">
    <tableColumn id="1" xr3:uid="{00000000-0010-0000-0000-000001000000}" name="#PR" dataDxfId="204"/>
    <tableColumn id="2" xr3:uid="{00000000-0010-0000-0000-000002000000}" name="Opportunity" dataDxfId="203"/>
    <tableColumn id="3" xr3:uid="{00000000-0010-0000-0000-000003000000}" name="Client Name" dataDxfId="202"/>
    <tableColumn id="4" xr3:uid="{00000000-0010-0000-0000-000004000000}" name="Client Phone Number" dataDxfId="201"/>
    <tableColumn id="5" xr3:uid="{00000000-0010-0000-0000-000005000000}" name="Company Name" dataDxfId="200"/>
    <tableColumn id="6" xr3:uid="{00000000-0010-0000-0000-000006000000}" name="Client Email" dataDxfId="199"/>
    <tableColumn id="7" xr3:uid="{00000000-0010-0000-0000-000007000000}" name="Project Stage" dataDxfId="198"/>
    <tableColumn id="8" xr3:uid="{00000000-0010-0000-0000-000008000000}" name="Project Location" dataDxfId="197"/>
    <tableColumn id="9" xr3:uid="{00000000-0010-0000-0000-000009000000}" name="Status" dataDxfId="196"/>
    <tableColumn id="10" xr3:uid="{00000000-0010-0000-0000-00000A000000}" name="Est. value" dataDxfId="195"/>
    <tableColumn id="11" xr3:uid="{00000000-0010-0000-0000-00000B000000}" name="Action Done" dataDxfId="194"/>
    <tableColumn id="12" xr3:uid="{00000000-0010-0000-0000-00000C000000}" name="Action Date" dataDxfId="193"/>
    <tableColumn id="13" xr3:uid="{00000000-0010-0000-0000-00000D000000}" name="Follow Up" dataDxfId="192"/>
    <tableColumn id="14" xr3:uid="{00000000-0010-0000-0000-00000E000000}" name="Follow Up Date" dataDxfId="191"/>
    <tableColumn id="15" xr3:uid="{2C5AB469-ECEC-4058-8054-7284081DF09B}" name="Est. value (SAR)" dataDxfId="190" totalsRowDxfId="189">
      <calculatedColumnFormula>IFERROR(VALUE(SUBSTITUTE(TRIM(SUBSTITUTE(Projects_Follow_UP[[#This Row],[Est. value]],"SAR","")),",","")),0)</calculatedColumnFormula>
    </tableColumn>
    <tableColumn id="16" xr3:uid="{C450C32F-E1F5-4766-929A-3F15F209C96E}" name="Gone To Referral ?" dataDxfId="188" totalsRowDxfId="187"/>
    <tableColumn id="17" xr3:uid="{6FE48AEE-5CCB-41A2-894D-8CF3B22F68CE}" name="Column1" dataDxfId="186" totalsRowDxfId="185"/>
    <tableColumn id="18" xr3:uid="{1221EE2D-AA57-4BC9-860F-6449636D34DD}" name="Current Follow Up" dataDxfId="184" totalsRowDxfId="183"/>
    <tableColumn id="19" xr3:uid="{596C0722-9B16-4A43-B46B-EBD285C1FF03}" name="Current Follow Up Date" dataDxfId="182" totalsRowDxfId="181"/>
  </tableColumns>
  <tableStyleInfo name="Projects Follow U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ot_Leads" displayName="Hot_Leads" ref="A1:N155" dataDxfId="180">
  <tableColumns count="14">
    <tableColumn id="1" xr3:uid="{00000000-0010-0000-0400-000001000000}" name="Name" dataDxfId="179"/>
    <tableColumn id="2" xr3:uid="{00000000-0010-0000-0400-000002000000}" name="Phone" dataDxfId="178"/>
    <tableColumn id="3" xr3:uid="{00000000-0010-0000-0400-000003000000}" name="Company" dataDxfId="177"/>
    <tableColumn id="4" xr3:uid="{00000000-0010-0000-0400-000004000000}" name="Google Map Location" dataDxfId="176"/>
    <tableColumn id="5" xr3:uid="{00000000-0010-0000-0400-000005000000}" name="Company Based on" dataDxfId="175"/>
    <tableColumn id="6" xr3:uid="{00000000-0010-0000-0400-000006000000}" name="Email" dataDxfId="174"/>
    <tableColumn id="7" xr3:uid="{00000000-0010-0000-0400-000007000000}" name="Position" dataDxfId="173"/>
    <tableColumn id="8" xr3:uid="{00000000-0010-0000-0400-000008000000}" name="Last Call Date" dataDxfId="172"/>
    <tableColumn id="9" xr3:uid="{00000000-0010-0000-0400-000009000000}" name="Notes" dataDxfId="171"/>
    <tableColumn id="10" xr3:uid="{00000000-0010-0000-0400-00000A000000}" name="Next Follow Up Notes" dataDxfId="170"/>
    <tableColumn id="11" xr3:uid="{00000000-0010-0000-0400-00000B000000}" name="Next Follow Up Date" dataDxfId="169"/>
    <tableColumn id="12" xr3:uid="{00000000-0010-0000-0400-00000C000000}" name="Gone To Referral ?" dataDxfId="168"/>
    <tableColumn id="13" xr3:uid="{2DB91744-A1BC-4203-A791-FA69393FF5CC}" name="Current Action Required" dataDxfId="167"/>
    <tableColumn id="14" xr3:uid="{FAA19FDB-32AD-452D-83DD-A5D5381B5AF7}" name="Current Action Date" dataDxfId="166"/>
  </tableColumns>
  <tableStyleInfo name="Hot Lead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Hasan.zino@honeywell.com" TargetMode="External"/><Relationship Id="rId18" Type="http://schemas.openxmlformats.org/officeDocument/2006/relationships/hyperlink" Target="mailto:m.amr@creet.net" TargetMode="External"/><Relationship Id="rId26" Type="http://schemas.openxmlformats.org/officeDocument/2006/relationships/hyperlink" Target="mailto:hamdyabdelrasoul@daralkahrbaa.com" TargetMode="External"/><Relationship Id="rId3" Type="http://schemas.openxmlformats.org/officeDocument/2006/relationships/hyperlink" Target="https://maps.app.goo.gl/iSnFecR4DVJ6biXV9" TargetMode="External"/><Relationship Id="rId21" Type="http://schemas.openxmlformats.org/officeDocument/2006/relationships/hyperlink" Target="mailto:mohammadh.saleh@ikkgroup.com" TargetMode="External"/><Relationship Id="rId7" Type="http://schemas.openxmlformats.org/officeDocument/2006/relationships/hyperlink" Target="https://maps.app.goo.gl/h5ByLCjX7i9xPuA27" TargetMode="External"/><Relationship Id="rId12" Type="http://schemas.openxmlformats.org/officeDocument/2006/relationships/hyperlink" Target="mailto:Abdullah.lutf@al-jammaz.com" TargetMode="External"/><Relationship Id="rId17" Type="http://schemas.openxmlformats.org/officeDocument/2006/relationships/hyperlink" Target="mailto:abdelrahman.alshibi@rafagulf.com" TargetMode="External"/><Relationship Id="rId25" Type="http://schemas.openxmlformats.org/officeDocument/2006/relationships/hyperlink" Target="mailto:ak@kfoco.com" TargetMode="External"/><Relationship Id="rId33" Type="http://schemas.openxmlformats.org/officeDocument/2006/relationships/table" Target="../tables/table2.xml"/><Relationship Id="rId2" Type="http://schemas.openxmlformats.org/officeDocument/2006/relationships/hyperlink" Target="https://maps.app.goo.gl/JzJ3RJ7bUkrwNRUZA" TargetMode="External"/><Relationship Id="rId16" Type="http://schemas.openxmlformats.org/officeDocument/2006/relationships/hyperlink" Target="mailto:hanifa@almagamsi.com" TargetMode="External"/><Relationship Id="rId20" Type="http://schemas.openxmlformats.org/officeDocument/2006/relationships/hyperlink" Target="https://share.google/BeqySgEuSwCLv1en5" TargetMode="External"/><Relationship Id="rId29" Type="http://schemas.openxmlformats.org/officeDocument/2006/relationships/hyperlink" Target="mailto:seradwan@ahc-contracting.com" TargetMode="External"/><Relationship Id="rId1" Type="http://schemas.openxmlformats.org/officeDocument/2006/relationships/hyperlink" Target="https://maps.app.goo.gl/dDuLptLbo71wA8du9" TargetMode="External"/><Relationship Id="rId6" Type="http://schemas.openxmlformats.org/officeDocument/2006/relationships/hyperlink" Target="https://maps.app.goo.gl/hduVAmcVWzY67pd2A" TargetMode="External"/><Relationship Id="rId11" Type="http://schemas.openxmlformats.org/officeDocument/2006/relationships/hyperlink" Target="https://maps.app.goo.gl/iWmTQ4WzUsgV1X7i9" TargetMode="External"/><Relationship Id="rId24" Type="http://schemas.openxmlformats.org/officeDocument/2006/relationships/hyperlink" Target="mailto:omar.abdullah@alsaad.com.sa" TargetMode="External"/><Relationship Id="rId32" Type="http://schemas.openxmlformats.org/officeDocument/2006/relationships/hyperlink" Target="mailto:m.ismail@creet.net" TargetMode="External"/><Relationship Id="rId5" Type="http://schemas.openxmlformats.org/officeDocument/2006/relationships/hyperlink" Target="https://maps.app.goo.gl/c5pWiicmKMLBYKo58" TargetMode="External"/><Relationship Id="rId15" Type="http://schemas.openxmlformats.org/officeDocument/2006/relationships/hyperlink" Target="mailto:sameh.saber@fsa.com.sa" TargetMode="External"/><Relationship Id="rId23" Type="http://schemas.openxmlformats.org/officeDocument/2006/relationships/hyperlink" Target="mailto:omer.elhanoun@macc-fm.com" TargetMode="External"/><Relationship Id="rId28" Type="http://schemas.openxmlformats.org/officeDocument/2006/relationships/hyperlink" Target="mailto:mohammed.desouky@almardoof.com" TargetMode="External"/><Relationship Id="rId10" Type="http://schemas.openxmlformats.org/officeDocument/2006/relationships/hyperlink" Target="https://maps.app.goo.gl/iWmTQ4WzUsgV1X7i9" TargetMode="External"/><Relationship Id="rId19" Type="http://schemas.openxmlformats.org/officeDocument/2006/relationships/hyperlink" Target="https://maps.app.goo.gl/c5pWiicmKMLBYKo58" TargetMode="External"/><Relationship Id="rId31" Type="http://schemas.openxmlformats.org/officeDocument/2006/relationships/hyperlink" Target="mailto:serdarcan.ertem@mapa.group" TargetMode="External"/><Relationship Id="rId4" Type="http://schemas.openxmlformats.org/officeDocument/2006/relationships/hyperlink" Target="https://maps.app.goo.gl/a1oNGzQ8BDT2fyjHA" TargetMode="External"/><Relationship Id="rId9" Type="http://schemas.openxmlformats.org/officeDocument/2006/relationships/hyperlink" Target="mailto:ashraf.elsayed@acud.sa" TargetMode="External"/><Relationship Id="rId14" Type="http://schemas.openxmlformats.org/officeDocument/2006/relationships/hyperlink" Target="mailto:mohamedkahla@bitsarabia.com" TargetMode="External"/><Relationship Id="rId22" Type="http://schemas.openxmlformats.org/officeDocument/2006/relationships/hyperlink" Target="mailto:y.adwi@ihcc.sa" TargetMode="External"/><Relationship Id="rId27" Type="http://schemas.openxmlformats.org/officeDocument/2006/relationships/hyperlink" Target="mailto:m.hassan@vision-cc.com" TargetMode="External"/><Relationship Id="rId30" Type="http://schemas.openxmlformats.org/officeDocument/2006/relationships/hyperlink" Target="mailto:a.alessa@mag-sa.com" TargetMode="External"/><Relationship Id="rId8" Type="http://schemas.openxmlformats.org/officeDocument/2006/relationships/hyperlink" Target="https://maps.app.goo.gl/iSnFecR4DVJ6biXV9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pAsUh62vPnTL9hSL9" TargetMode="External"/><Relationship Id="rId13" Type="http://schemas.openxmlformats.org/officeDocument/2006/relationships/hyperlink" Target="https://maps.app.goo.gl/m4xVLoqPEd8UbSpM6" TargetMode="External"/><Relationship Id="rId18" Type="http://schemas.openxmlformats.org/officeDocument/2006/relationships/hyperlink" Target="https://maps.app.goo.gl/cX7P5PXQT9m3qF197" TargetMode="External"/><Relationship Id="rId3" Type="http://schemas.openxmlformats.org/officeDocument/2006/relationships/hyperlink" Target="https://maps.app.goo.gl/yHUKdE6zCK8WT467A" TargetMode="External"/><Relationship Id="rId21" Type="http://schemas.openxmlformats.org/officeDocument/2006/relationships/hyperlink" Target="https://maps.app.goo.gl/cX7P5PXQT9m3qF197" TargetMode="External"/><Relationship Id="rId7" Type="http://schemas.openxmlformats.org/officeDocument/2006/relationships/hyperlink" Target="https://maps.app.goo.gl/5BcmYAMZrZgMxP2v5%20%20%20/%20%20https:/maps.app.goo.gl/3PmEDsB8Eh4fkaqc9%20%20%20%20/%20%20%20https:/maps.app.goo.gl/3exL9ykg7K5kcsfx6" TargetMode="External"/><Relationship Id="rId12" Type="http://schemas.openxmlformats.org/officeDocument/2006/relationships/hyperlink" Target="https://maps.app.goo.gl/kP4Q6FUuXV8tt5Az6" TargetMode="External"/><Relationship Id="rId17" Type="http://schemas.openxmlformats.org/officeDocument/2006/relationships/hyperlink" Target="https://maps.app.goo.gl/sjUGqq4MN7siLx797" TargetMode="External"/><Relationship Id="rId2" Type="http://schemas.openxmlformats.org/officeDocument/2006/relationships/hyperlink" Target="https://maps.app.goo.gl/919VzLzEeSHjKagQ7" TargetMode="External"/><Relationship Id="rId16" Type="http://schemas.openxmlformats.org/officeDocument/2006/relationships/hyperlink" Target="https://maps.app.goo.gl/KrRYNnvL6CVa4vw67" TargetMode="External"/><Relationship Id="rId20" Type="http://schemas.openxmlformats.org/officeDocument/2006/relationships/hyperlink" Target="https://maps.app.goo.gl/pseP3GfMfnJsRA6B7" TargetMode="External"/><Relationship Id="rId1" Type="http://schemas.openxmlformats.org/officeDocument/2006/relationships/hyperlink" Target="https://maps.app.goo.gl/MX9ToYhA9KJcttD88" TargetMode="External"/><Relationship Id="rId6" Type="http://schemas.openxmlformats.org/officeDocument/2006/relationships/hyperlink" Target="https://maps.app.goo.gl/F3UUE4ZkpuaKo1yS8" TargetMode="External"/><Relationship Id="rId11" Type="http://schemas.openxmlformats.org/officeDocument/2006/relationships/hyperlink" Target="https://maps.app.goo.gl/TnigrhmGWRTyt5G96" TargetMode="External"/><Relationship Id="rId5" Type="http://schemas.openxmlformats.org/officeDocument/2006/relationships/hyperlink" Target="https://maps.app.goo.gl/pAsUh62vPnTL9hSL9" TargetMode="External"/><Relationship Id="rId15" Type="http://schemas.openxmlformats.org/officeDocument/2006/relationships/hyperlink" Target="https://maps.app.goo.gl/R7wxkmAcA7k3nLRW7" TargetMode="External"/><Relationship Id="rId10" Type="http://schemas.openxmlformats.org/officeDocument/2006/relationships/hyperlink" Target="https://maps.app.goo.gl/5BcmYAMZrZgMxP2v5%20%20%20/%20%20https:/maps.app.goo.gl/3PmEDsB8Eh4fkaqc9%20%20%20%20/%20%20%20https:/maps.app.goo.gl/3exL9ykg7K5kcsfx6" TargetMode="External"/><Relationship Id="rId19" Type="http://schemas.openxmlformats.org/officeDocument/2006/relationships/hyperlink" Target="https://maps.app.goo.gl/GWEZP51hnjTQK2ih6" TargetMode="External"/><Relationship Id="rId4" Type="http://schemas.openxmlformats.org/officeDocument/2006/relationships/hyperlink" Target="https://maps.app.goo.gl/Nb7YNbDuJ735697aA" TargetMode="External"/><Relationship Id="rId9" Type="http://schemas.openxmlformats.org/officeDocument/2006/relationships/hyperlink" Target="https://maps.app.goo.gl/F3UUE4ZkpuaKo1yS8" TargetMode="External"/><Relationship Id="rId14" Type="http://schemas.openxmlformats.org/officeDocument/2006/relationships/hyperlink" Target="https://maps.app.goo.gl/Cs96ierLNQpXDdGB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app.goo.gl/xX26BxSKniyi9wp69%20-%20&#1605;&#1588;&#1585;&#1608;&#1593;%20&#1576;&#1591;&#1608;&#1604;%20&#1575;&#1604;&#1591;&#1585;&#1610;&#1602;%20&#1576;&#1587;%20&#1604;&#1587;&#1577;%20&#1601;&#1610;%20&#1605;&#1585;&#1581;&#1604;&#1577;%20&#1589;&#1576;%20&#1575;&#1604;&#1575;&#1587;&#1575;&#1587;&#1575;&#1578;%20&#1608;%20&#1605;&#1601;&#1610;&#1588;%20&#1605;&#1602;&#1575;&#1608;&#1604;%20&#1603;&#1607;&#1585;&#1575;&#1576;%20&#1605;&#1608;&#1580;&#1608;&#1583;%20&#1601;&#1610;%20&#1575;&#1604;&#1605;&#1608;&#1602;&#1593;" TargetMode="External"/><Relationship Id="rId1" Type="http://schemas.openxmlformats.org/officeDocument/2006/relationships/hyperlink" Target="https://maps.app.goo.gl/tVkMW7EZzjEeALHT9%20%20%20%20-%20%20%20&#1605;&#1588;&#1585;&#1608;&#1593;%20&#1605;&#1608;&#1604;%20&#1603;&#1576;&#1610;&#1585;%20&#1604;&#1587;&#1577;%20&#1578;&#1581;&#1578;%20&#1575;&#1604;&#1575;&#1606;&#1588;&#1575;&#1569;%20&#1605;&#1588;%20&#1605;&#1603;&#1578;&#1608;&#1576;%20&#1593;&#1604;&#1610;&#1607;%20&#1575;&#1587;&#1605;&#1607;%20&#1608;%20&#1605;&#1601;&#1610;&#1588;%20&#1605;&#1602;&#1575;&#1608;&#1604;%20&#1603;&#1607;&#1585;&#1576;&#1575;&#1569;%20&#1604;&#1587;&#1577;%20&#1601;&#1610;%20&#1575;&#1604;&#1605;&#1608;&#1602;&#1593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2D9B-E6BD-43EE-A223-416DC82397C9}">
  <dimension ref="A1:M149"/>
  <sheetViews>
    <sheetView showGridLines="0" workbookViewId="0">
      <selection activeCell="K61" sqref="K61"/>
    </sheetView>
  </sheetViews>
  <sheetFormatPr defaultRowHeight="12.75"/>
  <cols>
    <col min="1" max="1" width="1.5703125" customWidth="1"/>
    <col min="2" max="2" width="26.7109375" customWidth="1"/>
    <col min="3" max="3" width="21.5703125" style="48" customWidth="1"/>
    <col min="4" max="4" width="26.7109375" customWidth="1"/>
    <col min="5" max="5" width="31.5703125" customWidth="1"/>
    <col min="6" max="6" width="38.140625" customWidth="1"/>
    <col min="7" max="7" width="16" customWidth="1"/>
    <col min="8" max="8" width="36" bestFit="1" customWidth="1"/>
    <col min="9" max="9" width="23.85546875" customWidth="1"/>
    <col min="10" max="10" width="38.140625" customWidth="1"/>
    <col min="11" max="11" width="17.140625" customWidth="1"/>
    <col min="12" max="12" width="13.7109375" customWidth="1"/>
    <col min="13" max="13" width="35.7109375" customWidth="1"/>
  </cols>
  <sheetData>
    <row r="1" spans="1:10" ht="24.75" customHeight="1">
      <c r="A1" s="354" t="s">
        <v>0</v>
      </c>
      <c r="B1" s="354"/>
      <c r="C1" s="354"/>
      <c r="D1" s="354"/>
      <c r="E1" s="354"/>
      <c r="F1" s="354"/>
      <c r="G1" s="354"/>
      <c r="H1" s="354"/>
      <c r="I1" s="354"/>
      <c r="J1" s="354"/>
    </row>
    <row r="2" spans="1:10" ht="24.75" customHeight="1">
      <c r="A2" s="354"/>
      <c r="B2" s="355"/>
      <c r="C2" s="354"/>
      <c r="D2" s="354"/>
      <c r="E2" s="354"/>
      <c r="F2" s="354"/>
      <c r="G2" s="356"/>
      <c r="H2" s="356"/>
      <c r="I2" s="354"/>
      <c r="J2" s="354"/>
    </row>
    <row r="3" spans="1:10" ht="24.75" customHeight="1">
      <c r="A3" s="354"/>
      <c r="B3" s="356"/>
      <c r="C3" s="354"/>
      <c r="D3" s="354"/>
      <c r="E3" s="354"/>
      <c r="F3" s="354"/>
      <c r="G3" s="355"/>
      <c r="H3" s="355"/>
      <c r="I3" s="354"/>
      <c r="J3" s="354"/>
    </row>
    <row r="4" spans="1:10" ht="24.75" customHeight="1">
      <c r="A4" s="354"/>
      <c r="B4" s="354"/>
      <c r="C4" s="354"/>
      <c r="D4" s="354"/>
      <c r="E4" s="354"/>
      <c r="F4" s="354"/>
      <c r="G4" s="354"/>
      <c r="H4" s="354"/>
      <c r="I4" s="354"/>
      <c r="J4" s="354"/>
    </row>
    <row r="5" spans="1:10" ht="9.75" customHeight="1">
      <c r="A5" s="65"/>
      <c r="B5" s="65"/>
      <c r="C5" s="65"/>
      <c r="D5" s="65"/>
      <c r="E5" s="65"/>
      <c r="F5" s="65"/>
      <c r="G5" s="65"/>
      <c r="H5" s="65"/>
      <c r="I5" s="65"/>
      <c r="J5" s="65"/>
    </row>
    <row r="6" spans="1:10" ht="53.25" customHeight="1">
      <c r="A6" s="65"/>
      <c r="B6" s="67" t="s">
        <v>1</v>
      </c>
      <c r="C6" s="65"/>
      <c r="D6" s="65"/>
      <c r="E6" s="65"/>
      <c r="F6" s="65"/>
      <c r="G6" s="151"/>
      <c r="H6" s="152"/>
      <c r="I6" s="65"/>
      <c r="J6" s="65"/>
    </row>
    <row r="7" spans="1:10" ht="8.25" customHeight="1">
      <c r="A7" s="65"/>
      <c r="B7" s="65"/>
      <c r="C7" s="65"/>
      <c r="D7" s="65"/>
      <c r="E7" s="65"/>
      <c r="F7" s="65"/>
      <c r="G7" s="65"/>
      <c r="H7" s="65"/>
      <c r="I7" s="65"/>
      <c r="J7" s="65"/>
    </row>
    <row r="8" spans="1:10" ht="21.75" customHeight="1">
      <c r="A8" s="65"/>
      <c r="B8" s="94" t="s">
        <v>2</v>
      </c>
      <c r="C8" s="95"/>
      <c r="D8" s="94" t="s">
        <v>3</v>
      </c>
      <c r="E8" s="95"/>
      <c r="F8" s="94" t="s">
        <v>4</v>
      </c>
      <c r="G8" s="95"/>
      <c r="H8" s="94" t="s">
        <v>5</v>
      </c>
      <c r="I8" s="65"/>
      <c r="J8" s="65"/>
    </row>
    <row r="9" spans="1:10" ht="45">
      <c r="A9" s="65"/>
      <c r="B9" s="68">
        <f>D9+F9</f>
        <v>22</v>
      </c>
      <c r="C9" s="65"/>
      <c r="D9" s="71">
        <f>COUNTIF('Projects Follow UP'!G:G,"in hand")</f>
        <v>16</v>
      </c>
      <c r="E9" s="65"/>
      <c r="F9" s="72">
        <f>COUNTIF('Projects Follow UP'!G:G,"Tender")</f>
        <v>6</v>
      </c>
      <c r="G9" s="65"/>
      <c r="H9" s="73">
        <f>SUM('Projects Follow UP'!O:O)</f>
        <v>73877915</v>
      </c>
      <c r="I9" s="65"/>
      <c r="J9" s="65"/>
    </row>
    <row r="10" spans="1:10" ht="21.75" customHeight="1">
      <c r="A10" s="65"/>
      <c r="B10" s="69" t="s">
        <v>6</v>
      </c>
      <c r="C10" s="65"/>
      <c r="D10" s="69" t="s">
        <v>7</v>
      </c>
      <c r="E10" s="65"/>
      <c r="F10" s="69" t="s">
        <v>8</v>
      </c>
      <c r="G10" s="65"/>
      <c r="H10" s="69" t="s">
        <v>9</v>
      </c>
      <c r="I10" s="65"/>
      <c r="J10" s="65"/>
    </row>
    <row r="11" spans="1:10" ht="21.75" customHeight="1">
      <c r="A11" s="65"/>
      <c r="B11" s="70"/>
      <c r="C11" s="65"/>
      <c r="D11" s="70"/>
      <c r="E11" s="65"/>
      <c r="F11" s="70"/>
      <c r="G11" s="65"/>
      <c r="H11" s="70"/>
      <c r="I11" s="65"/>
      <c r="J11" s="65"/>
    </row>
    <row r="12" spans="1:10" s="38" customFormat="1" ht="21.75" customHeight="1">
      <c r="A12" s="126"/>
      <c r="B12" s="127"/>
      <c r="C12" s="126" t="s">
        <v>10</v>
      </c>
      <c r="D12" s="128">
        <f>SUMIF('Projects Follow UP'!G:G,"In Hand",'Projects Follow UP'!O:O)</f>
        <v>18947100</v>
      </c>
      <c r="E12" s="126" t="s">
        <v>11</v>
      </c>
      <c r="F12" s="130">
        <f>SUMIF('Projects Follow UP'!G:G,"Tender",'Projects Follow UP'!O:O)</f>
        <v>54930815</v>
      </c>
      <c r="G12" s="126"/>
      <c r="H12" s="129"/>
      <c r="I12" s="126"/>
      <c r="J12" s="126"/>
    </row>
    <row r="13" spans="1:10" ht="21.75" customHeight="1">
      <c r="A13" s="65"/>
      <c r="B13" s="74" t="s">
        <v>12</v>
      </c>
      <c r="C13" s="65"/>
      <c r="D13" s="76" t="s">
        <v>13</v>
      </c>
      <c r="E13" s="65"/>
      <c r="F13" s="78" t="s">
        <v>14</v>
      </c>
      <c r="G13" s="65"/>
      <c r="H13" s="80" t="s">
        <v>15</v>
      </c>
      <c r="I13" s="65"/>
      <c r="J13" s="65"/>
    </row>
    <row r="14" spans="1:10" ht="45">
      <c r="A14" s="65"/>
      <c r="B14" s="75">
        <f ca="1">COUNTIFS('Hot Leads'!H:H,"&gt;="&amp;(TODAY()-7),'Hot Leads'!H:H,"&lt;="&amp;TODAY())</f>
        <v>0</v>
      </c>
      <c r="C14" s="65"/>
      <c r="D14" s="77">
        <f>COUNTIF('Projects Follow UP'!I:I,"Won")</f>
        <v>0</v>
      </c>
      <c r="E14" s="329" t="s">
        <v>16</v>
      </c>
      <c r="F14" s="79">
        <f>COUNTIF('Projects Follow UP'!I:I,"Lost")</f>
        <v>1</v>
      </c>
      <c r="G14" s="65"/>
      <c r="H14" s="81">
        <f ca="1">COUNTIF('Hot Leads'!K:K,"&lt;="&amp;TODAY())+COUNTIF('Projects Follow UP'!N:N,"&lt;="&amp;TODAY())</f>
        <v>10</v>
      </c>
      <c r="I14" s="65"/>
      <c r="J14" s="65"/>
    </row>
    <row r="15" spans="1:10" ht="74.25" customHeight="1">
      <c r="A15" s="65"/>
      <c r="B15" s="69" t="s">
        <v>17</v>
      </c>
      <c r="C15" s="65"/>
      <c r="D15" s="69" t="s">
        <v>18</v>
      </c>
      <c r="E15" s="330">
        <f>SUM('Won Deals'!G2:G176)</f>
        <v>15962</v>
      </c>
      <c r="F15" s="69" t="s">
        <v>19</v>
      </c>
      <c r="G15" s="65"/>
      <c r="H15" s="69" t="s">
        <v>20</v>
      </c>
      <c r="I15" s="65"/>
      <c r="J15" s="65"/>
    </row>
    <row r="16" spans="1:10" ht="21.75" customHeight="1">
      <c r="A16" s="65"/>
      <c r="B16" s="70"/>
      <c r="C16" s="96"/>
      <c r="D16" s="70"/>
      <c r="E16" s="96"/>
      <c r="F16" s="70"/>
      <c r="G16" s="96"/>
      <c r="H16" s="70"/>
      <c r="I16" s="65"/>
      <c r="J16" s="65"/>
    </row>
    <row r="17" spans="1:10" ht="17.25" customHeight="1">
      <c r="A17" s="65"/>
      <c r="B17" s="123" t="s">
        <v>21</v>
      </c>
      <c r="C17" s="124">
        <f>IFERROR(D14/(D14+F14),0)</f>
        <v>0</v>
      </c>
      <c r="D17" s="65"/>
      <c r="E17" s="122"/>
      <c r="F17" s="65"/>
      <c r="G17" s="122"/>
      <c r="H17" s="125"/>
      <c r="I17" s="65"/>
      <c r="J17" s="65"/>
    </row>
    <row r="18" spans="1:10" ht="24.75" customHeight="1">
      <c r="A18" s="65"/>
      <c r="B18" s="67" t="s">
        <v>22</v>
      </c>
      <c r="C18" s="65"/>
      <c r="D18" s="65"/>
      <c r="E18" s="65"/>
      <c r="F18" s="65"/>
      <c r="G18" s="65"/>
      <c r="H18" s="65"/>
      <c r="I18" s="65"/>
      <c r="J18" s="65"/>
    </row>
    <row r="19" spans="1:10" ht="8.25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</row>
    <row r="20" spans="1:10" ht="20.25" customHeight="1">
      <c r="A20" s="65"/>
      <c r="B20" s="99" t="s">
        <v>23</v>
      </c>
      <c r="C20" s="82"/>
      <c r="D20" s="98" t="s">
        <v>24</v>
      </c>
      <c r="E20" s="82"/>
      <c r="F20" s="98" t="s">
        <v>25</v>
      </c>
      <c r="G20" s="82"/>
      <c r="H20" s="100"/>
      <c r="I20" s="65"/>
      <c r="J20" s="65"/>
    </row>
    <row r="21" spans="1:10" ht="20.25" customHeight="1">
      <c r="A21" s="65"/>
      <c r="B21" s="141" t="s">
        <v>26</v>
      </c>
      <c r="C21" s="139" t="s">
        <v>27</v>
      </c>
      <c r="D21" s="139" t="s">
        <v>28</v>
      </c>
      <c r="E21" s="139" t="s">
        <v>27</v>
      </c>
      <c r="F21" s="139" t="s">
        <v>29</v>
      </c>
      <c r="G21" s="139" t="s">
        <v>27</v>
      </c>
      <c r="H21" s="140"/>
      <c r="I21" s="65"/>
      <c r="J21" s="65"/>
    </row>
    <row r="22" spans="1:10" ht="20.25" customHeight="1">
      <c r="A22" s="65"/>
      <c r="B22" s="142" t="s">
        <v>30</v>
      </c>
      <c r="C22" s="143">
        <f>COUNTIF('Projects Follow UP'!G:G,"In Hand")</f>
        <v>16</v>
      </c>
      <c r="D22" s="143" t="s">
        <v>31</v>
      </c>
      <c r="E22" s="143">
        <f>COUNTIF('Projects Follow UP'!H:H,"Jeddah")</f>
        <v>10</v>
      </c>
      <c r="F22" s="143" t="s">
        <v>32</v>
      </c>
      <c r="G22" s="143">
        <f>COUNTIF('Projects Follow UP'!I:I,"*RFQ*")</f>
        <v>5</v>
      </c>
      <c r="H22" s="144"/>
      <c r="I22" s="65"/>
      <c r="J22" s="65"/>
    </row>
    <row r="23" spans="1:10" ht="20.25" customHeight="1">
      <c r="A23" s="65"/>
      <c r="B23" s="145" t="s">
        <v>33</v>
      </c>
      <c r="C23" s="146">
        <f>COUNTIF('Projects Follow UP'!G:G,"Tender")</f>
        <v>6</v>
      </c>
      <c r="D23" s="146" t="s">
        <v>34</v>
      </c>
      <c r="E23" s="146">
        <f>COUNTIF('Projects Follow UP'!H:H,"Makkah")</f>
        <v>6</v>
      </c>
      <c r="F23" s="146" t="s">
        <v>35</v>
      </c>
      <c r="G23" s="146">
        <f>COUNTIF('Projects Follow UP'!I:I,"Negotiation")</f>
        <v>1</v>
      </c>
      <c r="H23" s="129"/>
      <c r="I23" s="65"/>
      <c r="J23" s="65"/>
    </row>
    <row r="24" spans="1:10" ht="20.25" customHeight="1">
      <c r="A24" s="65"/>
      <c r="B24" s="142" t="s">
        <v>36</v>
      </c>
      <c r="C24" s="143">
        <f>COUNTIF('Projects Follow UP'!G:G,"Won")</f>
        <v>0</v>
      </c>
      <c r="D24" s="143" t="s">
        <v>37</v>
      </c>
      <c r="E24" s="143">
        <f>COUNTIF('Projects Follow UP'!H:H,"Madinah")+COUNTIF('Projects Follow UP'!H:H,"Madena")</f>
        <v>0</v>
      </c>
      <c r="F24" s="143" t="s">
        <v>38</v>
      </c>
      <c r="G24" s="143">
        <f>COUNTIF('Projects Follow UP'!I:I,"*Gather*")</f>
        <v>2</v>
      </c>
      <c r="H24" s="144"/>
      <c r="I24" s="65"/>
      <c r="J24" s="65"/>
    </row>
    <row r="25" spans="1:10">
      <c r="A25" s="65"/>
      <c r="B25" s="145" t="s">
        <v>39</v>
      </c>
      <c r="C25" s="146">
        <f>COUNTIF('Projects Follow UP'!G:G,"Lost")</f>
        <v>0</v>
      </c>
      <c r="D25" s="146" t="s">
        <v>40</v>
      </c>
      <c r="E25" s="146">
        <f>COUNTIF('Projects Follow UP'!H:H,"Riyadh")</f>
        <v>4</v>
      </c>
      <c r="F25" s="146" t="s">
        <v>41</v>
      </c>
      <c r="G25" s="146">
        <f>COUNTIF('Projects Follow UP'!I:I,"*Send*")</f>
        <v>11</v>
      </c>
      <c r="H25" s="129"/>
      <c r="I25" s="65"/>
      <c r="J25" s="65"/>
    </row>
    <row r="26" spans="1:10">
      <c r="A26" s="65"/>
      <c r="B26" s="127"/>
      <c r="C26" s="126"/>
      <c r="D26" s="143" t="s">
        <v>42</v>
      </c>
      <c r="E26" s="143">
        <f>COUNTIF('Projects Follow UP'!H:H,"Khobar")+COUNTIF('Projects Follow UP'!H:H,"Dammam")</f>
        <v>1</v>
      </c>
      <c r="F26" s="147" t="s">
        <v>43</v>
      </c>
      <c r="G26" s="147">
        <f>COUNTIF('Projects Follow UP'!I:I,"*Closed*")</f>
        <v>0</v>
      </c>
      <c r="H26" s="144"/>
      <c r="I26" s="65"/>
      <c r="J26" s="65"/>
    </row>
    <row r="27" spans="1:10">
      <c r="A27" s="65"/>
      <c r="B27" s="148"/>
      <c r="C27" s="149"/>
      <c r="D27" s="146" t="s">
        <v>44</v>
      </c>
      <c r="E27" s="146">
        <f>B9-SUM(E22:E26)</f>
        <v>1</v>
      </c>
      <c r="F27" s="149"/>
      <c r="G27" s="149"/>
      <c r="H27" s="150"/>
      <c r="I27" s="65"/>
      <c r="J27" s="65"/>
    </row>
    <row r="28" spans="1:10">
      <c r="A28" s="65"/>
      <c r="B28" s="65"/>
      <c r="C28" s="65"/>
      <c r="D28" s="65"/>
      <c r="E28" s="65"/>
      <c r="F28" s="65"/>
      <c r="G28" s="65"/>
      <c r="H28" s="65"/>
      <c r="I28" s="65"/>
      <c r="J28" s="65"/>
    </row>
    <row r="29" spans="1:10">
      <c r="A29" s="65"/>
      <c r="B29" s="65"/>
      <c r="C29" s="65"/>
      <c r="D29" s="65"/>
      <c r="E29" s="65"/>
      <c r="F29" s="65"/>
      <c r="G29" s="65"/>
      <c r="H29" s="65"/>
      <c r="I29" s="65"/>
      <c r="J29" s="65"/>
    </row>
    <row r="30" spans="1:10" ht="22.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</row>
    <row r="31" spans="1:10">
      <c r="A31" s="65"/>
      <c r="B31" s="65"/>
      <c r="C31" s="65"/>
      <c r="D31" s="65"/>
      <c r="E31" s="65"/>
      <c r="F31" s="65"/>
      <c r="G31" s="65"/>
      <c r="H31" s="65"/>
      <c r="I31" s="65"/>
      <c r="J31" s="65"/>
    </row>
    <row r="32" spans="1:10">
      <c r="A32" s="65"/>
      <c r="B32" s="65"/>
      <c r="C32" s="65"/>
      <c r="D32" s="65"/>
      <c r="E32" s="65"/>
      <c r="F32" s="65"/>
      <c r="G32" s="65"/>
      <c r="H32" s="65"/>
      <c r="I32" s="65"/>
      <c r="J32" s="65"/>
    </row>
    <row r="33" spans="1:13">
      <c r="A33" s="65"/>
      <c r="B33" s="65"/>
      <c r="C33" s="65"/>
      <c r="D33" s="65"/>
      <c r="E33" s="65"/>
      <c r="F33" s="65"/>
      <c r="G33" s="65"/>
      <c r="H33" s="65"/>
      <c r="I33" s="65"/>
      <c r="J33" s="65"/>
    </row>
    <row r="34" spans="1:13">
      <c r="A34" s="65"/>
      <c r="B34" s="65"/>
      <c r="C34" s="65"/>
      <c r="D34" s="65"/>
      <c r="E34" s="65"/>
      <c r="F34" s="65"/>
      <c r="G34" s="65"/>
      <c r="H34" s="65"/>
      <c r="I34" s="65"/>
      <c r="J34" s="65"/>
    </row>
    <row r="35" spans="1:13">
      <c r="A35" s="65"/>
      <c r="B35" s="65"/>
      <c r="C35" s="65"/>
      <c r="D35" s="65"/>
      <c r="E35" s="65"/>
      <c r="F35" s="65"/>
      <c r="G35" s="65"/>
      <c r="H35" s="65"/>
      <c r="I35" s="65"/>
      <c r="J35" s="65"/>
    </row>
    <row r="36" spans="1:13" ht="24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</row>
    <row r="37" spans="1:13" ht="9.7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</row>
    <row r="38" spans="1:13" ht="35.2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</row>
    <row r="39" spans="1:13" ht="9.7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</row>
    <row r="40" spans="1:13" ht="27.75" customHeight="1">
      <c r="A40" s="65"/>
      <c r="B40" s="352" t="s">
        <v>45</v>
      </c>
      <c r="C40" s="353"/>
      <c r="D40" s="353"/>
      <c r="E40" s="353"/>
      <c r="F40" s="353"/>
      <c r="G40" s="353"/>
      <c r="H40" s="353"/>
      <c r="I40" s="65"/>
      <c r="J40" s="65"/>
    </row>
    <row r="41" spans="1:13" ht="8.2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</row>
    <row r="42" spans="1:13" ht="24" customHeight="1">
      <c r="A42" s="65"/>
      <c r="B42" s="102" t="s">
        <v>46</v>
      </c>
      <c r="C42" s="66"/>
      <c r="D42" s="66"/>
      <c r="E42" s="66"/>
      <c r="F42" s="66"/>
      <c r="G42" s="66"/>
      <c r="H42" s="103"/>
      <c r="I42" s="357" t="s">
        <v>47</v>
      </c>
      <c r="J42" s="358"/>
      <c r="K42" s="358"/>
      <c r="L42" s="358"/>
    </row>
    <row r="43" spans="1:13" ht="20.25" customHeight="1">
      <c r="A43" s="65"/>
      <c r="B43" s="83" t="s">
        <v>48</v>
      </c>
      <c r="C43" s="137" t="s">
        <v>49</v>
      </c>
      <c r="D43" s="137" t="s">
        <v>50</v>
      </c>
      <c r="E43" s="137" t="s">
        <v>51</v>
      </c>
      <c r="F43" s="137" t="s">
        <v>52</v>
      </c>
      <c r="G43" s="137" t="s">
        <v>53</v>
      </c>
      <c r="H43" s="137" t="s">
        <v>54</v>
      </c>
      <c r="I43" s="332" t="s">
        <v>55</v>
      </c>
      <c r="J43" s="332" t="s">
        <v>56</v>
      </c>
      <c r="K43" s="332" t="s">
        <v>57</v>
      </c>
      <c r="L43" s="332" t="s">
        <v>29</v>
      </c>
    </row>
    <row r="44" spans="1:13">
      <c r="A44" s="65"/>
      <c r="B44" s="84" t="str" cm="1">
        <f t="array" aca="1" ref="B44" ca="1">_xlfn.LET(_xlpm.data,_xlfn._xlws.FILTER(_xlfn.HSTACK(Hot_Leads[Name],Hot_Leads[Company],IF(Hot_Leads[Phone]&lt;&gt;"",TEXT(Hot_Leads[Phone],"0"),""),Hot_Leads[Position],Hot_Leads[Current Action Required],Hot_Leads[Current Action Date],TODAY()-Hot_Leads[Current Action Date]),(Hot_Leads[Current Action Date]&gt;0)*(Hot_Leads[Current Action Date]&lt;TODAY())*(Hot_Leads[Name]&lt;&gt;"")),IFERROR(_xlfn.TAKE(_xlfn._xlws.SORT(_xlpm.data,7,-1),15),"✓ No Hot Leads Due Today"))</f>
        <v>✓ No Hot Leads Due Today</v>
      </c>
      <c r="C44" s="131"/>
      <c r="D44" s="314"/>
      <c r="E44" s="133"/>
      <c r="F44" s="135"/>
      <c r="G44" s="316"/>
      <c r="H44" s="333"/>
      <c r="I44" s="338" t="s">
        <v>58</v>
      </c>
      <c r="J44" s="337" t="s">
        <v>59</v>
      </c>
      <c r="K44" s="336">
        <v>46243</v>
      </c>
      <c r="L44" s="339" t="str">
        <f>IF(AND(J44&lt;&gt;"",K44&lt;&gt;""),"✓ Synced","Add update")</f>
        <v>✓ Synced</v>
      </c>
      <c r="M44" s="340">
        <v>966541016847</v>
      </c>
    </row>
    <row r="45" spans="1:13">
      <c r="A45" s="65"/>
      <c r="B45" s="85"/>
      <c r="C45" s="132"/>
      <c r="D45" s="315"/>
      <c r="E45" s="134"/>
      <c r="F45" s="136"/>
      <c r="G45" s="317"/>
      <c r="H45" s="334"/>
      <c r="I45" s="338" t="s">
        <v>60</v>
      </c>
      <c r="J45" s="337" t="s">
        <v>61</v>
      </c>
      <c r="K45" s="336">
        <v>46140</v>
      </c>
      <c r="L45" s="339" t="str">
        <f t="shared" ref="L45:L58" si="0">IF(AND(J45&lt;&gt;"",K45&lt;&gt;""),"✓ Synced","Add update")</f>
        <v>✓ Synced</v>
      </c>
      <c r="M45" s="340">
        <v>966569972444</v>
      </c>
    </row>
    <row r="46" spans="1:13" ht="25.5">
      <c r="A46" s="65"/>
      <c r="B46" s="218"/>
      <c r="C46" s="219"/>
      <c r="D46" s="314"/>
      <c r="E46" s="133"/>
      <c r="F46" s="135"/>
      <c r="G46" s="316"/>
      <c r="H46" s="333"/>
      <c r="I46" s="338" t="s">
        <v>62</v>
      </c>
      <c r="J46" s="337" t="s">
        <v>63</v>
      </c>
      <c r="K46" s="336">
        <v>46456</v>
      </c>
      <c r="L46" s="339" t="str">
        <f t="shared" si="0"/>
        <v>✓ Synced</v>
      </c>
      <c r="M46" s="340">
        <v>966569548850</v>
      </c>
    </row>
    <row r="47" spans="1:13" ht="25.5">
      <c r="A47" s="65"/>
      <c r="B47" s="85"/>
      <c r="C47" s="132"/>
      <c r="D47" s="315"/>
      <c r="E47" s="134"/>
      <c r="F47" s="136"/>
      <c r="G47" s="317"/>
      <c r="H47" s="334"/>
      <c r="I47" s="338" t="s">
        <v>64</v>
      </c>
      <c r="J47" s="337" t="s">
        <v>65</v>
      </c>
      <c r="K47" s="336">
        <v>46265</v>
      </c>
      <c r="L47" s="339" t="str">
        <f t="shared" si="0"/>
        <v>✓ Synced</v>
      </c>
      <c r="M47" s="340">
        <v>966562292293</v>
      </c>
    </row>
    <row r="48" spans="1:13">
      <c r="A48" s="65"/>
      <c r="B48" s="84"/>
      <c r="C48" s="131"/>
      <c r="D48" s="314"/>
      <c r="E48" s="133"/>
      <c r="F48" s="135"/>
      <c r="G48" s="316"/>
      <c r="H48" s="333"/>
      <c r="I48" s="338" t="s">
        <v>66</v>
      </c>
      <c r="J48" s="337" t="s">
        <v>67</v>
      </c>
      <c r="K48" s="336">
        <v>46250</v>
      </c>
      <c r="L48" s="339" t="str">
        <f t="shared" si="0"/>
        <v>✓ Synced</v>
      </c>
      <c r="M48" s="340">
        <v>966506694282</v>
      </c>
    </row>
    <row r="49" spans="1:13">
      <c r="A49" s="65"/>
      <c r="B49" s="85"/>
      <c r="C49" s="132"/>
      <c r="D49" s="315"/>
      <c r="E49" s="134"/>
      <c r="F49" s="136"/>
      <c r="G49" s="317"/>
      <c r="H49" s="334"/>
      <c r="I49" s="338" t="s">
        <v>68</v>
      </c>
      <c r="J49" s="337" t="s">
        <v>69</v>
      </c>
      <c r="K49" s="336">
        <v>46145</v>
      </c>
      <c r="L49" s="339" t="str">
        <f t="shared" si="0"/>
        <v>✓ Synced</v>
      </c>
      <c r="M49" s="340">
        <v>966568061671</v>
      </c>
    </row>
    <row r="50" spans="1:13">
      <c r="A50" s="65"/>
      <c r="B50" s="217"/>
      <c r="C50" s="131"/>
      <c r="D50" s="314"/>
      <c r="E50" s="133"/>
      <c r="F50" s="135"/>
      <c r="G50" s="316"/>
      <c r="H50" s="333"/>
      <c r="I50" s="338" t="s">
        <v>70</v>
      </c>
      <c r="J50" s="337" t="s">
        <v>71</v>
      </c>
      <c r="K50" s="336">
        <v>46145</v>
      </c>
      <c r="L50" s="339" t="str">
        <f t="shared" si="0"/>
        <v>✓ Synced</v>
      </c>
      <c r="M50" s="340">
        <v>966554711520</v>
      </c>
    </row>
    <row r="51" spans="1:13">
      <c r="A51" s="65"/>
      <c r="B51" s="85"/>
      <c r="C51" s="132"/>
      <c r="D51" s="315"/>
      <c r="E51" s="134"/>
      <c r="F51" s="136"/>
      <c r="G51" s="317"/>
      <c r="H51" s="334"/>
      <c r="I51" s="338" t="s">
        <v>72</v>
      </c>
      <c r="J51" s="337" t="s">
        <v>73</v>
      </c>
      <c r="K51" s="336">
        <v>46145</v>
      </c>
      <c r="L51" s="339" t="str">
        <f t="shared" si="0"/>
        <v>✓ Synced</v>
      </c>
      <c r="M51" s="340">
        <v>966549733284</v>
      </c>
    </row>
    <row r="52" spans="1:13">
      <c r="A52" s="65"/>
      <c r="B52" s="84"/>
      <c r="C52" s="131"/>
      <c r="D52" s="314"/>
      <c r="E52" s="133"/>
      <c r="F52" s="135"/>
      <c r="G52" s="316"/>
      <c r="H52" s="333"/>
      <c r="I52" s="338" t="s">
        <v>74</v>
      </c>
      <c r="J52" s="337" t="s">
        <v>75</v>
      </c>
      <c r="K52" s="336">
        <v>46146</v>
      </c>
      <c r="L52" s="339" t="str">
        <f t="shared" si="0"/>
        <v>✓ Synced</v>
      </c>
      <c r="M52" s="340">
        <v>966546468592</v>
      </c>
    </row>
    <row r="53" spans="1:13" ht="25.5">
      <c r="A53" s="65"/>
      <c r="B53" s="85"/>
      <c r="C53" s="132"/>
      <c r="D53" s="315"/>
      <c r="E53" s="134"/>
      <c r="F53" s="136"/>
      <c r="G53" s="317"/>
      <c r="H53" s="334"/>
      <c r="I53" s="338" t="s">
        <v>76</v>
      </c>
      <c r="J53" s="337" t="s">
        <v>77</v>
      </c>
      <c r="K53" s="336">
        <v>46146</v>
      </c>
      <c r="L53" s="339" t="str">
        <f t="shared" si="0"/>
        <v>✓ Synced</v>
      </c>
      <c r="M53" s="340">
        <v>966598803998</v>
      </c>
    </row>
    <row r="54" spans="1:13">
      <c r="A54" s="65"/>
      <c r="B54" s="84"/>
      <c r="C54" s="131"/>
      <c r="D54" s="314"/>
      <c r="E54" s="133"/>
      <c r="F54" s="135"/>
      <c r="G54" s="316"/>
      <c r="H54" s="333"/>
      <c r="I54" s="338" t="s">
        <v>78</v>
      </c>
      <c r="J54" s="337" t="s">
        <v>79</v>
      </c>
      <c r="K54" s="336">
        <v>46364</v>
      </c>
      <c r="L54" s="339" t="str">
        <f t="shared" si="0"/>
        <v>✓ Synced</v>
      </c>
      <c r="M54" s="340">
        <v>201111448448</v>
      </c>
    </row>
    <row r="55" spans="1:13">
      <c r="A55" s="65"/>
      <c r="B55" s="85"/>
      <c r="C55" s="132"/>
      <c r="D55" s="315"/>
      <c r="E55" s="134"/>
      <c r="F55" s="136"/>
      <c r="G55" s="317"/>
      <c r="H55" s="334"/>
      <c r="I55" s="338" t="s">
        <v>80</v>
      </c>
      <c r="J55" s="337" t="s">
        <v>81</v>
      </c>
      <c r="K55" s="336">
        <v>46148</v>
      </c>
      <c r="L55" s="339" t="str">
        <f t="shared" si="0"/>
        <v>✓ Synced</v>
      </c>
      <c r="M55" s="340">
        <v>966505520073</v>
      </c>
    </row>
    <row r="56" spans="1:13" ht="25.5">
      <c r="A56" s="65"/>
      <c r="B56" s="85"/>
      <c r="C56" s="132"/>
      <c r="D56" s="315"/>
      <c r="E56" s="134"/>
      <c r="F56" s="136"/>
      <c r="G56" s="317"/>
      <c r="H56" s="318"/>
      <c r="I56" s="338" t="s">
        <v>82</v>
      </c>
      <c r="J56" s="337">
        <v>0</v>
      </c>
      <c r="K56" s="336">
        <v>46149</v>
      </c>
      <c r="L56" s="339" t="str">
        <f t="shared" si="0"/>
        <v>✓ Synced</v>
      </c>
      <c r="M56" s="340">
        <v>966544411842</v>
      </c>
    </row>
    <row r="57" spans="1:13">
      <c r="A57" s="65"/>
      <c r="B57" s="84"/>
      <c r="C57" s="84"/>
      <c r="D57" s="315"/>
      <c r="E57" s="134"/>
      <c r="F57" s="135"/>
      <c r="G57" s="316"/>
      <c r="H57" s="334"/>
      <c r="I57" s="338" t="s">
        <v>83</v>
      </c>
      <c r="J57" s="337" t="s">
        <v>84</v>
      </c>
      <c r="K57" s="336">
        <v>46149</v>
      </c>
      <c r="L57" s="339" t="str">
        <f t="shared" si="0"/>
        <v>✓ Synced</v>
      </c>
      <c r="M57" s="340">
        <v>966561333021</v>
      </c>
    </row>
    <row r="58" spans="1:13">
      <c r="A58" s="65"/>
      <c r="B58" s="84"/>
      <c r="C58" s="84"/>
      <c r="D58" s="315"/>
      <c r="E58" s="134"/>
      <c r="F58" s="136"/>
      <c r="G58" s="316"/>
      <c r="H58" s="334"/>
      <c r="I58" s="338" t="s">
        <v>85</v>
      </c>
      <c r="J58" s="337" t="s">
        <v>86</v>
      </c>
      <c r="K58" s="336">
        <v>46149</v>
      </c>
      <c r="L58" s="339" t="str">
        <f t="shared" si="0"/>
        <v>✓ Synced</v>
      </c>
      <c r="M58" s="340">
        <v>966557077244</v>
      </c>
    </row>
    <row r="59" spans="1:13" ht="24" customHeight="1">
      <c r="A59" s="65"/>
      <c r="B59" s="105" t="s">
        <v>87</v>
      </c>
      <c r="C59" s="104"/>
      <c r="D59" s="104"/>
      <c r="E59" s="104"/>
      <c r="F59" s="104"/>
      <c r="G59" s="104"/>
      <c r="H59" s="106"/>
      <c r="I59" s="359" t="s">
        <v>88</v>
      </c>
      <c r="J59" s="360"/>
      <c r="K59" s="360"/>
      <c r="L59" s="360"/>
    </row>
    <row r="60" spans="1:13" ht="20.25" customHeight="1">
      <c r="A60" s="65"/>
      <c r="B60" s="83" t="s">
        <v>89</v>
      </c>
      <c r="C60" s="137" t="s">
        <v>90</v>
      </c>
      <c r="D60" s="137" t="s">
        <v>55</v>
      </c>
      <c r="E60" s="137" t="s">
        <v>26</v>
      </c>
      <c r="F60" s="138" t="s">
        <v>52</v>
      </c>
      <c r="G60" s="137" t="s">
        <v>53</v>
      </c>
      <c r="H60" s="137" t="s">
        <v>54</v>
      </c>
      <c r="I60" s="332" t="s">
        <v>91</v>
      </c>
      <c r="J60" s="332" t="s">
        <v>92</v>
      </c>
      <c r="K60" s="332" t="s">
        <v>93</v>
      </c>
      <c r="L60" s="332" t="s">
        <v>29</v>
      </c>
    </row>
    <row r="61" spans="1:13" ht="38.25">
      <c r="A61" s="65"/>
      <c r="B61" s="133" t="str" cm="1">
        <f t="array" aca="1" ref="B61" ca="1">_xlfn.LET(_xlpm.data,_xlfn._xlws.FILTER(_xlfn.HSTACK('Projects Follow UP'!A5:A139,'Projects Follow UP'!B5:B139,'Projects Follow UP'!C5:C139,'Projects Follow UP'!G5:G139,'Projects Follow UP'!R5:R139,'Projects Follow UP'!S5:S139,TODAY()-'Projects Follow UP'!S5:S139),('Projects Follow UP'!S5:S139&gt;0)*('Projects Follow UP'!S5:S139&lt;TODAY())*('Projects Follow UP'!A5:A139&lt;&gt;"")),IFERROR(_xlfn.TAKE(_xlfn._xlws.SORT(_xlpm.data,7,-1),12),"✓ No Projects Due Today"))</f>
        <v>✓ No Projects Due Today</v>
      </c>
      <c r="C61" s="135"/>
      <c r="D61" s="135"/>
      <c r="E61" s="135"/>
      <c r="F61" s="135"/>
      <c r="G61" s="319"/>
      <c r="H61" s="342"/>
      <c r="I61" s="335" t="s">
        <v>94</v>
      </c>
      <c r="J61" s="337" t="s">
        <v>95</v>
      </c>
      <c r="K61" s="336">
        <v>46389</v>
      </c>
      <c r="L61" s="339" t="str">
        <f>IF(AND(J61&lt;&gt;"",K61&lt;&gt;""),"✓ Synced","Add update")</f>
        <v>✓ Synced</v>
      </c>
      <c r="M61" t="s">
        <v>94</v>
      </c>
    </row>
    <row r="62" spans="1:13" ht="38.25">
      <c r="A62" s="65"/>
      <c r="B62" s="134"/>
      <c r="C62" s="136"/>
      <c r="D62" s="135"/>
      <c r="E62" s="135"/>
      <c r="F62" s="136"/>
      <c r="G62" s="320"/>
      <c r="H62" s="343"/>
      <c r="I62" s="335" t="s">
        <v>96</v>
      </c>
      <c r="J62" s="337" t="s">
        <v>97</v>
      </c>
      <c r="K62" s="336">
        <v>46156</v>
      </c>
      <c r="L62" s="339" t="str">
        <f t="shared" ref="L62:L72" si="1">IF(AND(J62&lt;&gt;"",K62&lt;&gt;""),"✓ Synced","Add update")</f>
        <v>✓ Synced</v>
      </c>
      <c r="M62" t="s">
        <v>96</v>
      </c>
    </row>
    <row r="63" spans="1:13" ht="25.5">
      <c r="A63" s="65"/>
      <c r="B63" s="133"/>
      <c r="C63" s="135"/>
      <c r="D63" s="135"/>
      <c r="E63" s="135"/>
      <c r="F63" s="135"/>
      <c r="G63" s="319"/>
      <c r="H63" s="342"/>
      <c r="I63" s="335" t="s">
        <v>98</v>
      </c>
      <c r="J63" s="337" t="s">
        <v>99</v>
      </c>
      <c r="K63" s="336">
        <v>46158</v>
      </c>
      <c r="L63" s="339" t="str">
        <f t="shared" si="1"/>
        <v>✓ Synced</v>
      </c>
      <c r="M63" t="s">
        <v>98</v>
      </c>
    </row>
    <row r="64" spans="1:13" ht="38.25">
      <c r="A64" s="65"/>
      <c r="B64" s="134"/>
      <c r="C64" s="136"/>
      <c r="D64" s="136"/>
      <c r="E64" s="135"/>
      <c r="F64" s="136"/>
      <c r="G64" s="320"/>
      <c r="H64" s="343"/>
      <c r="I64" s="335" t="s">
        <v>100</v>
      </c>
      <c r="J64" s="337" t="s">
        <v>101</v>
      </c>
      <c r="K64" s="336">
        <v>46160</v>
      </c>
      <c r="L64" s="339" t="str">
        <f t="shared" si="1"/>
        <v>✓ Synced</v>
      </c>
      <c r="M64" t="s">
        <v>100</v>
      </c>
    </row>
    <row r="65" spans="1:13" ht="25.5">
      <c r="A65" s="65"/>
      <c r="B65" s="133"/>
      <c r="C65" s="135"/>
      <c r="D65" s="135"/>
      <c r="E65" s="135"/>
      <c r="F65" s="135"/>
      <c r="G65" s="319"/>
      <c r="H65" s="342"/>
      <c r="I65" s="335" t="s">
        <v>102</v>
      </c>
      <c r="J65" s="337" t="s">
        <v>103</v>
      </c>
      <c r="K65" s="336">
        <v>46223</v>
      </c>
      <c r="L65" s="339" t="str">
        <f t="shared" si="1"/>
        <v>✓ Synced</v>
      </c>
      <c r="M65" t="s">
        <v>102</v>
      </c>
    </row>
    <row r="66" spans="1:13">
      <c r="A66" s="65"/>
      <c r="B66" s="134"/>
      <c r="C66" s="136"/>
      <c r="D66" s="136"/>
      <c r="E66" s="135"/>
      <c r="F66" s="136"/>
      <c r="G66" s="320"/>
      <c r="H66" s="343"/>
      <c r="I66" s="335" t="s">
        <v>104</v>
      </c>
      <c r="J66" s="337" t="s">
        <v>105</v>
      </c>
      <c r="K66" s="336">
        <v>46223</v>
      </c>
      <c r="L66" s="339" t="str">
        <f t="shared" si="1"/>
        <v>✓ Synced</v>
      </c>
      <c r="M66" t="s">
        <v>104</v>
      </c>
    </row>
    <row r="67" spans="1:13">
      <c r="A67" s="65"/>
      <c r="B67" s="133"/>
      <c r="C67" s="135"/>
      <c r="D67" s="135"/>
      <c r="E67" s="135"/>
      <c r="F67" s="135"/>
      <c r="G67" s="319"/>
      <c r="H67" s="342"/>
      <c r="I67" s="335" t="s">
        <v>106</v>
      </c>
      <c r="J67" s="337" t="s">
        <v>107</v>
      </c>
      <c r="K67" s="336">
        <v>46228</v>
      </c>
      <c r="L67" s="339" t="str">
        <f t="shared" si="1"/>
        <v>✓ Synced</v>
      </c>
      <c r="M67" t="s">
        <v>106</v>
      </c>
    </row>
    <row r="68" spans="1:13" ht="25.5">
      <c r="A68" s="65"/>
      <c r="B68" s="134"/>
      <c r="C68" s="136"/>
      <c r="D68" s="136"/>
      <c r="E68" s="135"/>
      <c r="F68" s="136"/>
      <c r="G68" s="320"/>
      <c r="H68" s="343"/>
      <c r="I68" s="335" t="s">
        <v>108</v>
      </c>
      <c r="J68" s="337" t="s">
        <v>107</v>
      </c>
      <c r="K68" s="336">
        <v>46229</v>
      </c>
      <c r="L68" s="339" t="str">
        <f t="shared" si="1"/>
        <v>✓ Synced</v>
      </c>
      <c r="M68" t="s">
        <v>108</v>
      </c>
    </row>
    <row r="69" spans="1:13" ht="25.5">
      <c r="A69" s="65"/>
      <c r="B69" s="134"/>
      <c r="C69" s="135"/>
      <c r="D69" s="135"/>
      <c r="E69" s="135"/>
      <c r="F69" s="135"/>
      <c r="G69" s="319"/>
      <c r="H69" s="342"/>
      <c r="I69" s="335" t="s">
        <v>109</v>
      </c>
      <c r="J69" s="337" t="s">
        <v>110</v>
      </c>
      <c r="K69" s="336">
        <v>46231</v>
      </c>
      <c r="L69" s="339" t="str">
        <f t="shared" si="1"/>
        <v>✓ Synced</v>
      </c>
      <c r="M69" t="s">
        <v>109</v>
      </c>
    </row>
    <row r="70" spans="1:13" ht="25.5">
      <c r="A70" s="65"/>
      <c r="B70" s="134"/>
      <c r="C70" s="136"/>
      <c r="D70" s="136"/>
      <c r="E70" s="135"/>
      <c r="F70" s="136"/>
      <c r="G70" s="320"/>
      <c r="H70" s="343"/>
      <c r="I70" s="335" t="s">
        <v>111</v>
      </c>
      <c r="J70" s="337" t="s">
        <v>110</v>
      </c>
      <c r="K70" s="336">
        <v>46231</v>
      </c>
      <c r="L70" s="339" t="str">
        <f t="shared" si="1"/>
        <v>✓ Synced</v>
      </c>
      <c r="M70" t="s">
        <v>111</v>
      </c>
    </row>
    <row r="71" spans="1:13" ht="25.5">
      <c r="A71" s="65"/>
      <c r="B71" s="134"/>
      <c r="C71" s="135"/>
      <c r="D71" s="135"/>
      <c r="E71" s="135"/>
      <c r="F71" s="135"/>
      <c r="G71" s="319"/>
      <c r="H71" s="342"/>
      <c r="I71" s="335" t="s">
        <v>112</v>
      </c>
      <c r="J71" s="337" t="s">
        <v>107</v>
      </c>
      <c r="K71" s="336">
        <v>46231</v>
      </c>
      <c r="L71" s="339" t="str">
        <f t="shared" si="1"/>
        <v>✓ Synced</v>
      </c>
      <c r="M71" t="s">
        <v>112</v>
      </c>
    </row>
    <row r="72" spans="1:13">
      <c r="A72" s="65"/>
      <c r="B72" s="134"/>
      <c r="C72" s="135"/>
      <c r="D72" s="135"/>
      <c r="E72" s="135"/>
      <c r="F72" s="135"/>
      <c r="G72" s="319"/>
      <c r="H72" s="342"/>
      <c r="I72" s="335" t="s">
        <v>113</v>
      </c>
      <c r="J72" s="337" t="s">
        <v>107</v>
      </c>
      <c r="K72" s="336">
        <v>46235</v>
      </c>
      <c r="L72" s="339" t="str">
        <f t="shared" si="1"/>
        <v>✓ Synced</v>
      </c>
      <c r="M72" t="s">
        <v>113</v>
      </c>
    </row>
    <row r="73" spans="1:13" ht="9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</row>
    <row r="74" spans="1:13" ht="24.75" customHeight="1">
      <c r="A74" s="65"/>
      <c r="B74" s="86" t="s">
        <v>114</v>
      </c>
      <c r="C74" s="87"/>
      <c r="D74" s="87"/>
      <c r="E74" s="87"/>
      <c r="F74" s="87"/>
      <c r="G74" s="87"/>
      <c r="H74" s="87"/>
      <c r="I74" s="65"/>
      <c r="J74" s="65"/>
    </row>
    <row r="75" spans="1:13" ht="8.2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</row>
    <row r="76" spans="1:13" ht="24.75" customHeight="1">
      <c r="A76" s="65"/>
      <c r="B76" s="110" t="s">
        <v>115</v>
      </c>
      <c r="C76" s="107" t="s">
        <v>116</v>
      </c>
      <c r="D76" s="107" t="s">
        <v>117</v>
      </c>
      <c r="E76" s="107" t="s">
        <v>118</v>
      </c>
      <c r="F76" s="108" t="s">
        <v>119</v>
      </c>
      <c r="G76" s="82"/>
      <c r="H76" s="100"/>
      <c r="I76" s="65"/>
      <c r="J76" s="65"/>
    </row>
    <row r="77" spans="1:13">
      <c r="A77" s="65"/>
      <c r="B77" s="111" t="str">
        <f ca="1">"Week "&amp;WEEKNUM(TODAY()-7*(ROWS($B$77:$B$82)-ROWS($B$77:B77)))</f>
        <v>Week 33</v>
      </c>
      <c r="C77" s="321">
        <f ca="1">COUNTIFS('Master Plan (2)'!$A:$A,"&gt;="&amp;(TODAY()-WEEKDAY(TODAY(),1)+1-7*(ROWS($B$77:$B$82)-ROWS($B$77:B77))),'Master Plan (2)'!$A:$A,"&lt;"&amp;(TODAY()-WEEKDAY(TODAY(),1)+8-7*(ROWS($B$77:$B$82)-ROWS($B$77:B77))))</f>
        <v>36</v>
      </c>
      <c r="D77" s="321">
        <f ca="1">COUNTIFS('Master Report'!$A:$A,"&gt;="&amp;(TODAY()-WEEKDAY(TODAY(),1)+1-7*(ROWS($B$77:$B$82)-ROWS($B$77:B77))),'Master Report'!$A:$A,"&lt;"&amp;(TODAY()-WEEKDAY(TODAY(),1)+8-7*(ROWS($B$77:$B$82)-ROWS($B$77:B77))))</f>
        <v>33</v>
      </c>
      <c r="E77" s="321">
        <f ca="1">D77-C77</f>
        <v>-3</v>
      </c>
      <c r="F77" s="88">
        <f ca="1">IFERROR(D77/C77,0)</f>
        <v>0.91666666666666663</v>
      </c>
      <c r="G77" s="65"/>
      <c r="H77" s="97"/>
      <c r="I77" s="65"/>
      <c r="J77" s="65"/>
    </row>
    <row r="78" spans="1:13">
      <c r="A78" s="65"/>
      <c r="B78" s="112" t="str">
        <f ca="1">"Week "&amp;WEEKNUM(TODAY()-7*(ROWS($B$77:$B$82)-ROWS($B$77:B78)))</f>
        <v>Week 34</v>
      </c>
      <c r="C78" s="322">
        <f ca="1">COUNTIFS('Master Plan (2)'!$A:$A,"&gt;="&amp;(TODAY()-WEEKDAY(TODAY(),1)+1-7*(ROWS($B$77:$B$82)-ROWS($B$77:B78))),'Master Plan (2)'!$A:$A,"&lt;"&amp;(TODAY()-WEEKDAY(TODAY(),1)+8-7*(ROWS($B$77:$B$82)-ROWS($B$77:B78))))</f>
        <v>36</v>
      </c>
      <c r="D78" s="322">
        <f ca="1">COUNTIFS('Master Report'!$A:$A,"&gt;="&amp;(TODAY()-WEEKDAY(TODAY(),1)+1-7*(ROWS($B$77:$B$82)-ROWS($B$77:B78))),'Master Report'!$A:$A,"&lt;"&amp;(TODAY()-WEEKDAY(TODAY(),1)+8-7*(ROWS($B$77:$B$82)-ROWS($B$77:B78))))</f>
        <v>23</v>
      </c>
      <c r="E78" s="322">
        <f t="shared" ref="E78:E82" ca="1" si="2">D78-C78</f>
        <v>-13</v>
      </c>
      <c r="F78" s="89">
        <f t="shared" ref="F78:F82" ca="1" si="3">IFERROR(D78/C78,0)</f>
        <v>0.63888888888888884</v>
      </c>
      <c r="G78" s="65"/>
      <c r="H78" s="97"/>
      <c r="I78" s="65"/>
      <c r="J78" s="65"/>
    </row>
    <row r="79" spans="1:13">
      <c r="A79" s="65"/>
      <c r="B79" s="111" t="str">
        <f ca="1">"Week "&amp;WEEKNUM(TODAY()-7*(ROWS($B$77:$B$82)-ROWS($B$77:B79)))</f>
        <v>Week 35</v>
      </c>
      <c r="C79" s="321">
        <f ca="1">COUNTIFS('Master Plan (2)'!$A:$A,"&gt;="&amp;(TODAY()-WEEKDAY(TODAY(),1)+1-7*(ROWS($B$77:$B$82)-ROWS($B$77:B79))),'Master Plan (2)'!$A:$A,"&lt;"&amp;(TODAY()-WEEKDAY(TODAY(),1)+8-7*(ROWS($B$77:$B$82)-ROWS($B$77:B79))))</f>
        <v>36</v>
      </c>
      <c r="D79" s="321">
        <f ca="1">COUNTIFS('Master Report'!$A:$A,"&gt;="&amp;(TODAY()-WEEKDAY(TODAY(),1)+1-7*(ROWS($B$77:$B$82)-ROWS($B$77:B79))),'Master Report'!$A:$A,"&lt;"&amp;(TODAY()-WEEKDAY(TODAY(),1)+8-7*(ROWS($B$77:$B$82)-ROWS($B$77:B79))))</f>
        <v>22</v>
      </c>
      <c r="E79" s="321">
        <f t="shared" ca="1" si="2"/>
        <v>-14</v>
      </c>
      <c r="F79" s="88">
        <f t="shared" ca="1" si="3"/>
        <v>0.61111111111111116</v>
      </c>
      <c r="G79" s="65"/>
      <c r="H79" s="97"/>
      <c r="I79" s="65"/>
      <c r="J79" s="65"/>
    </row>
    <row r="80" spans="1:13">
      <c r="A80" s="65"/>
      <c r="B80" s="112" t="str">
        <f ca="1">"Week "&amp;WEEKNUM(TODAY()-7*(ROWS($B$77:$B$82)-ROWS($B$77:B80)))</f>
        <v>Week 36</v>
      </c>
      <c r="C80" s="322">
        <f ca="1">COUNTIFS('Master Plan (2)'!$A:$A,"&gt;="&amp;(TODAY()-WEEKDAY(TODAY(),1)+1-7*(ROWS($B$77:$B$82)-ROWS($B$77:B80))),'Master Plan (2)'!$A:$A,"&lt;"&amp;(TODAY()-WEEKDAY(TODAY(),1)+8-7*(ROWS($B$77:$B$82)-ROWS($B$77:B80))))</f>
        <v>37</v>
      </c>
      <c r="D80" s="322">
        <f ca="1">COUNTIFS('Master Report'!$A:$A,"&gt;="&amp;(TODAY()-WEEKDAY(TODAY(),1)+1-7*(ROWS($B$77:$B$82)-ROWS($B$77:B80))),'Master Report'!$A:$A,"&lt;"&amp;(TODAY()-WEEKDAY(TODAY(),1)+8-7*(ROWS($B$77:$B$82)-ROWS($B$77:B80))))</f>
        <v>26</v>
      </c>
      <c r="E80" s="322">
        <f t="shared" ca="1" si="2"/>
        <v>-11</v>
      </c>
      <c r="F80" s="89">
        <f t="shared" ca="1" si="3"/>
        <v>0.70270270270270274</v>
      </c>
      <c r="G80" s="65"/>
      <c r="H80" s="97"/>
      <c r="I80" s="65"/>
      <c r="J80" s="65"/>
    </row>
    <row r="81" spans="1:12">
      <c r="A81" s="65"/>
      <c r="B81" s="111" t="str">
        <f ca="1">"Week "&amp;WEEKNUM(TODAY()-7*(ROWS($B$77:$B$82)-ROWS($B$77:B81)))</f>
        <v>Week 37</v>
      </c>
      <c r="C81" s="321">
        <f ca="1">COUNTIFS('Master Plan (2)'!$A:$A,"&gt;="&amp;(TODAY()-WEEKDAY(TODAY(),1)+1-7*(ROWS($B$77:$B$82)-ROWS($B$77:B81))),'Master Plan (2)'!$A:$A,"&lt;"&amp;(TODAY()-WEEKDAY(TODAY(),1)+8-7*(ROWS($B$77:$B$82)-ROWS($B$77:B81))))</f>
        <v>34</v>
      </c>
      <c r="D81" s="321">
        <f ca="1">COUNTIFS('Master Report'!$A:$A,"&gt;="&amp;(TODAY()-WEEKDAY(TODAY(),1)+1-7*(ROWS($B$77:$B$82)-ROWS($B$77:B81))),'Master Report'!$A:$A,"&lt;"&amp;(TODAY()-WEEKDAY(TODAY(),1)+8-7*(ROWS($B$77:$B$82)-ROWS($B$77:B81))))</f>
        <v>16</v>
      </c>
      <c r="E81" s="321">
        <f t="shared" ca="1" si="2"/>
        <v>-18</v>
      </c>
      <c r="F81" s="88">
        <f t="shared" ca="1" si="3"/>
        <v>0.47058823529411764</v>
      </c>
      <c r="G81" s="65"/>
      <c r="H81" s="97"/>
      <c r="I81" s="65"/>
      <c r="J81" s="65"/>
    </row>
    <row r="82" spans="1:12">
      <c r="A82" s="65"/>
      <c r="B82" s="113" t="str">
        <f ca="1">"Week "&amp;WEEKNUM(TODAY()-7*(ROWS($B$77:$B$82)-ROWS($B$77:B82)))</f>
        <v>Week 38</v>
      </c>
      <c r="C82" s="323">
        <f ca="1">COUNTIFS('Master Plan (2)'!$A:$A,"&gt;="&amp;(TODAY()-WEEKDAY(TODAY(),1)+1-7*(ROWS($B$77:$B$82)-ROWS($B$77:B82))),'Master Plan (2)'!$A:$A,"&lt;"&amp;(TODAY()-WEEKDAY(TODAY(),1)+8-7*(ROWS($B$77:$B$82)-ROWS($B$77:B82))))</f>
        <v>0</v>
      </c>
      <c r="D82" s="323">
        <f ca="1">COUNTIFS('Master Report'!$A:$A,"&gt;="&amp;(TODAY()-WEEKDAY(TODAY(),1)+1-7*(ROWS($B$77:$B$82)-ROWS($B$77:B82))),'Master Report'!$A:$A,"&lt;"&amp;(TODAY()-WEEKDAY(TODAY(),1)+8-7*(ROWS($B$77:$B$82)-ROWS($B$77:B82))))</f>
        <v>0</v>
      </c>
      <c r="E82" s="323">
        <f t="shared" ca="1" si="2"/>
        <v>0</v>
      </c>
      <c r="F82" s="109">
        <f t="shared" ca="1" si="3"/>
        <v>0</v>
      </c>
      <c r="G82" s="96"/>
      <c r="H82" s="101"/>
      <c r="I82" s="65"/>
      <c r="J82" s="65"/>
    </row>
    <row r="83" spans="1:12" ht="24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</row>
    <row r="84" spans="1:12" ht="24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</row>
    <row r="85" spans="1:12" ht="24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</row>
    <row r="86" spans="1:12" ht="24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</row>
    <row r="87" spans="1:12" ht="9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</row>
    <row r="88" spans="1:12" ht="20.25">
      <c r="A88" s="65"/>
      <c r="B88" s="90" t="s">
        <v>120</v>
      </c>
      <c r="C88" s="91"/>
      <c r="D88" s="91"/>
      <c r="E88" s="91"/>
      <c r="F88" s="91"/>
      <c r="G88" s="91"/>
      <c r="H88" s="91"/>
      <c r="I88" s="65"/>
      <c r="J88" s="65"/>
    </row>
    <row r="89" spans="1:12" ht="8.2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</row>
    <row r="90" spans="1:12" ht="24.75" customHeight="1">
      <c r="A90" s="65"/>
      <c r="B90" s="116" t="s">
        <v>121</v>
      </c>
      <c r="C90" s="95"/>
      <c r="D90" s="114" t="s">
        <v>122</v>
      </c>
      <c r="E90" s="95"/>
      <c r="F90" s="114" t="s">
        <v>123</v>
      </c>
      <c r="G90" s="95"/>
      <c r="H90" s="119" t="s">
        <v>124</v>
      </c>
      <c r="I90" s="65"/>
      <c r="J90" s="65"/>
    </row>
    <row r="91" spans="1:12" ht="24.75" customHeight="1">
      <c r="A91" s="65"/>
      <c r="B91" s="117">
        <f ca="1">COUNTIFS('Master Report'!A:A,TODAY(),'Master Report'!F:F,"F2F Meeting")</f>
        <v>0</v>
      </c>
      <c r="C91" s="65"/>
      <c r="D91" s="92">
        <f ca="1">COUNTIFS('Master Report'!A:A,TODAY(),'Master Report'!F:F,"Call")</f>
        <v>0</v>
      </c>
      <c r="E91" s="65"/>
      <c r="F91" s="93">
        <f ca="1">COUNTIFS('Hot Leads'!H:H,"&gt;="&amp;(TODAY()-WEEKDAY(TODAY(),2)+1),'Hot Leads'!H:H,"&lt;="&amp;TODAY())</f>
        <v>0</v>
      </c>
      <c r="G91" s="65"/>
      <c r="H91" s="120">
        <f ca="1">SUMIFS('Projects Follow UP'!O:O,'Projects Follow UP'!L:L,"&gt;="&amp;(TODAY()-WEEKDAY(TODAY(),2)+1),'Projects Follow UP'!L:L,"&lt;="&amp;TODAY())</f>
        <v>0</v>
      </c>
      <c r="I91" s="65"/>
      <c r="J91" s="65"/>
    </row>
    <row r="92" spans="1:12" ht="24.75" customHeight="1">
      <c r="A92" s="65"/>
      <c r="B92" s="118" t="s">
        <v>125</v>
      </c>
      <c r="C92" s="96"/>
      <c r="D92" s="115" t="s">
        <v>126</v>
      </c>
      <c r="E92" s="96"/>
      <c r="F92" s="115" t="s">
        <v>127</v>
      </c>
      <c r="G92" s="96"/>
      <c r="H92" s="121" t="s">
        <v>128</v>
      </c>
      <c r="I92" s="65"/>
      <c r="J92" s="65"/>
    </row>
    <row r="93" spans="1:12" ht="8.2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</row>
    <row r="94" spans="1:12" ht="8.2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</row>
    <row r="95" spans="1:12" ht="24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</row>
    <row r="96" spans="1:12" ht="24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L96" s="153"/>
    </row>
    <row r="97" spans="1:10" ht="24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</row>
    <row r="98" spans="1:10" ht="24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</row>
    <row r="99" spans="1:10" ht="24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</row>
    <row r="100" spans="1:10" ht="24.75" customHeight="1">
      <c r="C100"/>
    </row>
    <row r="101" spans="1:10" ht="24.75" customHeight="1">
      <c r="C101"/>
    </row>
    <row r="102" spans="1:10" ht="24.75" customHeight="1">
      <c r="C102"/>
    </row>
    <row r="103" spans="1:10">
      <c r="C103"/>
    </row>
    <row r="104" spans="1:10">
      <c r="C104"/>
    </row>
    <row r="105" spans="1:10">
      <c r="C105"/>
    </row>
    <row r="106" spans="1:10">
      <c r="C106"/>
    </row>
    <row r="107" spans="1:10">
      <c r="C107"/>
    </row>
    <row r="108" spans="1:10">
      <c r="C108"/>
    </row>
    <row r="109" spans="1:10">
      <c r="C109"/>
    </row>
    <row r="110" spans="1:10">
      <c r="C110"/>
    </row>
    <row r="111" spans="1:10">
      <c r="C111"/>
    </row>
    <row r="112" spans="1:10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</sheetData>
  <mergeCells count="4">
    <mergeCell ref="B40:H40"/>
    <mergeCell ref="A1:J4"/>
    <mergeCell ref="I42:L42"/>
    <mergeCell ref="I59:L59"/>
  </mergeCells>
  <conditionalFormatting sqref="F77:F82">
    <cfRule type="cellIs" dxfId="165" priority="7" operator="greaterThanOrEqual">
      <formula>1</formula>
    </cfRule>
    <cfRule type="cellIs" dxfId="164" priority="8" operator="between">
      <formula>0.5</formula>
      <formula>0.99</formula>
    </cfRule>
    <cfRule type="cellIs" dxfId="163" priority="9" operator="lessThan">
      <formula>0.5</formula>
    </cfRule>
  </conditionalFormatting>
  <conditionalFormatting sqref="H44:H58">
    <cfRule type="cellIs" dxfId="162" priority="1" operator="greaterThan">
      <formula>3</formula>
    </cfRule>
    <cfRule type="cellIs" dxfId="161" priority="2" operator="between">
      <formula>1</formula>
      <formula>3</formula>
    </cfRule>
    <cfRule type="cellIs" dxfId="160" priority="3" operator="equal">
      <formula>0</formula>
    </cfRule>
  </conditionalFormatting>
  <conditionalFormatting sqref="H61:H72">
    <cfRule type="cellIs" dxfId="159" priority="4" operator="greaterThan">
      <formula>3</formula>
    </cfRule>
    <cfRule type="cellIs" dxfId="158" priority="5" operator="between">
      <formula>1</formula>
      <formula>3</formula>
    </cfRule>
    <cfRule type="cellIs" dxfId="157" priority="6" operator="equal">
      <formula>0</formula>
    </cfRule>
  </conditionalFormatting>
  <conditionalFormatting sqref="I44:L58">
    <cfRule type="expression" dxfId="156" priority="10">
      <formula>$K44&gt;=TODAY()</formula>
    </cfRule>
  </conditionalFormatting>
  <conditionalFormatting sqref="I61:L72">
    <cfRule type="expression" dxfId="155" priority="11">
      <formula>$K61&gt;=TODAY()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15C3-3F8B-4BEF-8CC5-74500FC75F27}">
  <dimension ref="A1:F70"/>
  <sheetViews>
    <sheetView showGridLines="0" topLeftCell="A11" workbookViewId="0">
      <selection activeCell="B65" sqref="B65"/>
    </sheetView>
  </sheetViews>
  <sheetFormatPr defaultRowHeight="12.75"/>
  <cols>
    <col min="1" max="1" width="1" customWidth="1"/>
    <col min="2" max="5" width="30.42578125" customWidth="1"/>
    <col min="6" max="6" width="3.85546875" customWidth="1"/>
    <col min="7" max="8" width="19" customWidth="1"/>
    <col min="9" max="9" width="5.7109375" customWidth="1"/>
  </cols>
  <sheetData>
    <row r="1" spans="1:6" ht="15" customHeight="1">
      <c r="A1" s="65"/>
      <c r="B1" s="65"/>
      <c r="C1" s="65"/>
      <c r="D1" s="65"/>
      <c r="E1" s="65"/>
      <c r="F1" s="65"/>
    </row>
    <row r="2" spans="1:6" ht="50.25" customHeight="1">
      <c r="A2" s="210"/>
      <c r="B2" s="367" t="s">
        <v>129</v>
      </c>
      <c r="C2" s="368"/>
      <c r="D2" s="368"/>
      <c r="E2" s="368"/>
      <c r="F2" s="210"/>
    </row>
    <row r="3" spans="1:6" ht="15" customHeight="1">
      <c r="A3" s="210"/>
      <c r="B3" s="65"/>
      <c r="C3" s="65"/>
      <c r="D3" s="65"/>
      <c r="E3" s="65"/>
      <c r="F3" s="210"/>
    </row>
    <row r="4" spans="1:6" ht="30" customHeight="1">
      <c r="A4" s="210"/>
      <c r="B4" s="369" t="s">
        <v>130</v>
      </c>
      <c r="C4" s="362"/>
      <c r="D4" s="362"/>
      <c r="E4" s="363"/>
      <c r="F4" s="210"/>
    </row>
    <row r="5" spans="1:6" ht="24.75" customHeight="1">
      <c r="A5" s="210"/>
      <c r="B5" s="163" t="s">
        <v>131</v>
      </c>
      <c r="C5" s="161" t="s">
        <v>132</v>
      </c>
      <c r="D5" s="161" t="s">
        <v>133</v>
      </c>
      <c r="E5" s="165" t="s">
        <v>134</v>
      </c>
      <c r="F5" s="210"/>
    </row>
    <row r="6" spans="1:6" ht="39.75" customHeight="1">
      <c r="A6" s="210"/>
      <c r="B6" s="164">
        <v>46144</v>
      </c>
      <c r="C6" s="162">
        <f>WEEKNUM(B6)</f>
        <v>18</v>
      </c>
      <c r="D6" s="162">
        <f>MONTH(B6)</f>
        <v>5</v>
      </c>
      <c r="E6" s="166">
        <f>ROUNDUP(MONTH(B6)/3,0)</f>
        <v>2</v>
      </c>
      <c r="F6" s="210"/>
    </row>
    <row r="7" spans="1:6" ht="9.75" customHeight="1">
      <c r="A7" s="210"/>
      <c r="B7" s="65"/>
      <c r="C7" s="65"/>
      <c r="D7" s="65"/>
      <c r="E7" s="65"/>
      <c r="F7" s="210"/>
    </row>
    <row r="8" spans="1:6" ht="30" customHeight="1">
      <c r="A8" s="210"/>
      <c r="B8" s="369" t="s">
        <v>135</v>
      </c>
      <c r="C8" s="362"/>
      <c r="D8" s="362"/>
      <c r="E8" s="363"/>
      <c r="F8" s="210"/>
    </row>
    <row r="9" spans="1:6" ht="24.75" customHeight="1">
      <c r="A9" s="210"/>
      <c r="B9" s="168" t="s">
        <v>136</v>
      </c>
      <c r="C9" s="154" t="s">
        <v>137</v>
      </c>
      <c r="D9" s="155" t="s">
        <v>138</v>
      </c>
      <c r="E9" s="171" t="s">
        <v>139</v>
      </c>
      <c r="F9" s="210"/>
    </row>
    <row r="10" spans="1:6" ht="45" customHeight="1">
      <c r="A10" s="210"/>
      <c r="B10" s="156">
        <f>COUNTIFS('Master Report'!A:A,B6,'Master Report'!F:F,"F2F Meeting")</f>
        <v>0</v>
      </c>
      <c r="C10" s="156">
        <f>COUNTIFS('Master Report'!A:A,B6,'Master Report'!F:F,"Call")</f>
        <v>11</v>
      </c>
      <c r="D10" s="156">
        <f>COUNTIFS('Hot Leads'!H:H,"&gt;="&amp;(B6-WEEKDAY(B6,2)+1),'Hot Leads'!H:H,"&lt;="&amp;B6)</f>
        <v>26</v>
      </c>
      <c r="E10" s="172">
        <f>SUMIFS('Projects Follow UP'!O:O,'Projects Follow UP'!L:L,"&gt;="&amp;(B6-WEEKDAY(B6,2)+1),'Projects Follow UP'!L:L,"&lt;="&amp;B6)</f>
        <v>0</v>
      </c>
      <c r="F10" s="210"/>
    </row>
    <row r="11" spans="1:6" ht="20.25" customHeight="1">
      <c r="A11" s="210"/>
      <c r="B11" s="157" t="s">
        <v>140</v>
      </c>
      <c r="C11" s="157" t="s">
        <v>141</v>
      </c>
      <c r="D11" s="157" t="s">
        <v>142</v>
      </c>
      <c r="E11" s="157" t="s">
        <v>128</v>
      </c>
      <c r="F11" s="210"/>
    </row>
    <row r="12" spans="1:6" ht="9.75" customHeight="1">
      <c r="A12" s="210"/>
      <c r="B12" s="169"/>
      <c r="C12" s="65"/>
      <c r="D12" s="65"/>
      <c r="E12" s="173"/>
      <c r="F12" s="210"/>
    </row>
    <row r="13" spans="1:6" ht="24.75" customHeight="1">
      <c r="A13" s="210"/>
      <c r="B13" s="170" t="s">
        <v>143</v>
      </c>
      <c r="C13" s="159" t="s">
        <v>144</v>
      </c>
      <c r="D13" s="160" t="s">
        <v>145</v>
      </c>
      <c r="E13" s="174" t="s">
        <v>146</v>
      </c>
      <c r="F13" s="210"/>
    </row>
    <row r="14" spans="1:6" ht="45" customHeight="1">
      <c r="A14" s="210"/>
      <c r="B14" s="156">
        <f>COUNTIFS('Projects Follow UP'!L:L,"&gt;="&amp;DATE(YEAR(B6),MONTH(B6),1),'Projects Follow UP'!L:L,"&lt;="&amp;EOMONTH(B6,0),'Projects Follow UP'!I:I,"*technical*")</f>
        <v>0</v>
      </c>
      <c r="C14" s="156">
        <f>COUNTIFS('Projects Follow UP'!G:G,"In Hand")</f>
        <v>16</v>
      </c>
      <c r="D14" s="156">
        <f>COUNTIFS('Projects Follow UP'!G:G,"Tender")</f>
        <v>6</v>
      </c>
      <c r="E14" s="156">
        <f>COUNTIF('Projects Follow UP'!A5:A139,"&lt;&gt;")</f>
        <v>135</v>
      </c>
      <c r="F14" s="210"/>
    </row>
    <row r="15" spans="1:6" ht="20.25" customHeight="1">
      <c r="A15" s="210"/>
      <c r="B15" s="167" t="s">
        <v>147</v>
      </c>
      <c r="C15" s="167" t="s">
        <v>147</v>
      </c>
      <c r="D15" s="167" t="s">
        <v>148</v>
      </c>
      <c r="E15" s="167" t="s">
        <v>149</v>
      </c>
      <c r="F15" s="210"/>
    </row>
    <row r="16" spans="1:6" ht="15" customHeight="1">
      <c r="A16" s="210"/>
      <c r="B16" s="65"/>
      <c r="C16" s="65"/>
      <c r="D16" s="65"/>
      <c r="E16" s="65"/>
      <c r="F16" s="210"/>
    </row>
    <row r="17" spans="1:6" ht="30" customHeight="1">
      <c r="A17" s="210"/>
      <c r="B17" s="369" t="s">
        <v>150</v>
      </c>
      <c r="C17" s="362"/>
      <c r="D17" s="362"/>
      <c r="E17" s="363"/>
      <c r="F17" s="210"/>
    </row>
    <row r="18" spans="1:6" ht="24.75" customHeight="1">
      <c r="A18" s="210"/>
      <c r="B18" s="178" t="s">
        <v>151</v>
      </c>
      <c r="C18" s="175" t="s">
        <v>152</v>
      </c>
      <c r="D18" s="175" t="s">
        <v>153</v>
      </c>
      <c r="E18" s="180" t="s">
        <v>154</v>
      </c>
      <c r="F18" s="210"/>
    </row>
    <row r="19" spans="1:6" ht="35.25" customHeight="1">
      <c r="A19" s="210"/>
      <c r="B19" s="211" t="s">
        <v>155</v>
      </c>
      <c r="C19" s="212"/>
      <c r="D19" s="212"/>
      <c r="E19" s="213"/>
      <c r="F19" s="210"/>
    </row>
    <row r="20" spans="1:6" ht="24.75" customHeight="1">
      <c r="A20" s="210"/>
      <c r="B20" s="179" t="s">
        <v>156</v>
      </c>
      <c r="C20" s="176" t="s">
        <v>157</v>
      </c>
      <c r="D20" s="177"/>
      <c r="E20" s="181"/>
      <c r="F20" s="210"/>
    </row>
    <row r="21" spans="1:6" ht="9.75" customHeight="1">
      <c r="A21" s="210"/>
      <c r="B21" s="65"/>
      <c r="C21" s="65"/>
      <c r="D21" s="65"/>
      <c r="E21" s="65"/>
      <c r="F21" s="210"/>
    </row>
    <row r="22" spans="1:6" ht="27.75" customHeight="1">
      <c r="A22" s="210"/>
      <c r="B22" s="370" t="s">
        <v>158</v>
      </c>
      <c r="C22" s="362"/>
      <c r="D22" s="362"/>
      <c r="E22" s="363"/>
      <c r="F22" s="210"/>
    </row>
    <row r="23" spans="1:6" ht="24.75" customHeight="1">
      <c r="A23" s="210"/>
      <c r="B23" s="182" t="s">
        <v>48</v>
      </c>
      <c r="C23" s="158" t="s">
        <v>49</v>
      </c>
      <c r="D23" s="158" t="s">
        <v>50</v>
      </c>
      <c r="E23" s="183" t="s">
        <v>159</v>
      </c>
      <c r="F23" s="210"/>
    </row>
    <row r="24" spans="1:6" ht="15" customHeight="1">
      <c r="A24" s="210"/>
      <c r="B24" s="188" t="str" cm="1">
        <f t="array" aca="1" ref="B24" ca="1">IFERROR(        IF(B19&lt;&gt;"",            _xlfn._xlws.FILTER(_xlfn.HSTACK('Hot Leads'!A:A,'Hot Leads'!C:C,'Hot Leads'!B:B,'Hot Leads'!G:G),                (ISNUMBER(SEARCH(B19,'Hot Leads'!A:A))+ISNUMBER(SEARCH(B19,'Hot Leads'!C:C)))                *('Hot Leads'!A:A&lt;&gt;"Name")*('Hot Leads'!A:A&lt;&gt;"")),        IF(C19&lt;&gt;"",            _xlfn._xlws.FILTER(_xlfn.HSTACK('Hot Leads'!A:A,'Hot Leads'!C:C,'Hot Leads'!B:B,'Hot Leads'!G:G),                (ISNUMBER(SEARCH(C19,'Hot Leads'!B:B)))                *('Hot Leads'!A:A&lt;&gt;"Name")*('Hot Leads'!A:A&lt;&gt;"")),        IF(E19&lt;&gt;"",            _xlfn._xlws.FILTER(_xlfn.HSTACK('Hot Leads'!A:A,'Hot Leads'!C:C,'Hot Leads'!B:B,'Hot Leads'!G:G),                (ISNUMBER(SEARCH(E19,'Hot Leads'!E:E)))                *('Hot Leads'!A:A&lt;&gt;"Name")*('Hot Leads'!A:A&lt;&gt;"")),        "Enter search term above..."))),    "No results found")</f>
        <v>No results found</v>
      </c>
      <c r="C24" s="189"/>
      <c r="D24" s="190"/>
      <c r="E24" s="191"/>
      <c r="F24" s="210"/>
    </row>
    <row r="25" spans="1:6" ht="15" customHeight="1">
      <c r="A25" s="210"/>
      <c r="B25" s="192"/>
      <c r="C25" s="193"/>
      <c r="D25" s="194"/>
      <c r="E25" s="195"/>
      <c r="F25" s="210"/>
    </row>
    <row r="26" spans="1:6" ht="39.75" customHeight="1">
      <c r="A26" s="210"/>
      <c r="B26" s="188"/>
      <c r="C26" s="189"/>
      <c r="D26" s="190"/>
      <c r="E26" s="191"/>
      <c r="F26" s="210"/>
    </row>
    <row r="27" spans="1:6" ht="30" customHeight="1">
      <c r="A27" s="210"/>
      <c r="B27" s="192"/>
      <c r="C27" s="193"/>
      <c r="D27" s="194"/>
      <c r="E27" s="195"/>
      <c r="F27" s="210"/>
    </row>
    <row r="28" spans="1:6" ht="39.75" customHeight="1">
      <c r="A28" s="210"/>
      <c r="B28" s="188"/>
      <c r="C28" s="189"/>
      <c r="D28" s="190"/>
      <c r="E28" s="191"/>
      <c r="F28" s="210"/>
    </row>
    <row r="29" spans="1:6">
      <c r="A29" s="210"/>
      <c r="B29" s="192"/>
      <c r="C29" s="193"/>
      <c r="D29" s="194"/>
      <c r="E29" s="195"/>
      <c r="F29" s="210"/>
    </row>
    <row r="30" spans="1:6" ht="35.25" customHeight="1">
      <c r="A30" s="210"/>
      <c r="B30" s="188"/>
      <c r="C30" s="189"/>
      <c r="D30" s="190"/>
      <c r="E30" s="191"/>
      <c r="F30" s="210"/>
    </row>
    <row r="31" spans="1:6" ht="27.75" customHeight="1">
      <c r="A31" s="210"/>
      <c r="B31" s="192"/>
      <c r="C31" s="193"/>
      <c r="D31" s="194"/>
      <c r="E31" s="195"/>
      <c r="F31" s="210"/>
    </row>
    <row r="32" spans="1:6" ht="27.75" customHeight="1">
      <c r="A32" s="210"/>
      <c r="B32" s="188"/>
      <c r="C32" s="189"/>
      <c r="D32" s="190"/>
      <c r="E32" s="191"/>
      <c r="F32" s="210"/>
    </row>
    <row r="33" spans="1:6" ht="27.75" customHeight="1">
      <c r="A33" s="210"/>
      <c r="B33" s="192"/>
      <c r="C33" s="193"/>
      <c r="D33" s="194"/>
      <c r="E33" s="195"/>
      <c r="F33" s="210"/>
    </row>
    <row r="34" spans="1:6" ht="27.75" customHeight="1">
      <c r="A34" s="210"/>
      <c r="B34" s="196"/>
      <c r="C34" s="197"/>
      <c r="D34" s="198"/>
      <c r="E34" s="199"/>
      <c r="F34" s="210"/>
    </row>
    <row r="35" spans="1:6" ht="9.75" customHeight="1">
      <c r="A35" s="210"/>
      <c r="B35" s="65"/>
      <c r="C35" s="65"/>
      <c r="D35" s="65"/>
      <c r="E35" s="65"/>
      <c r="F35" s="210"/>
    </row>
    <row r="36" spans="1:6" ht="27.75" customHeight="1">
      <c r="A36" s="210"/>
      <c r="B36" s="361" t="s">
        <v>160</v>
      </c>
      <c r="C36" s="362"/>
      <c r="D36" s="362"/>
      <c r="E36" s="363"/>
      <c r="F36" s="210"/>
    </row>
    <row r="37" spans="1:6" ht="24.75" customHeight="1">
      <c r="A37" s="210"/>
      <c r="B37" s="200" t="s">
        <v>89</v>
      </c>
      <c r="C37" s="201" t="s">
        <v>90</v>
      </c>
      <c r="D37" s="201" t="s">
        <v>161</v>
      </c>
      <c r="E37" s="202" t="s">
        <v>162</v>
      </c>
      <c r="F37" s="210"/>
    </row>
    <row r="38" spans="1:6" ht="27.75" customHeight="1">
      <c r="A38" s="210"/>
      <c r="B38" s="203" t="str" cm="1">
        <f t="array" aca="1" ref="B38" ca="1">IFERROR(        IF(D19&lt;&gt;"",            _xlfn._xlws.FILTER(_xlfn.HSTACK('Projects Follow UP'!A5:A139,'Projects Follow UP'!B5:B139,'Projects Follow UP'!C5:C139,'Projects Follow UP'!G5:G139),                (ISNUMBER(SEARCH(D19,'Projects Follow UP'!B5:B139))+ISNUMBER(SEARCH(D19,'Projects Follow UP'!C5:C139)))                *('Projects Follow UP'!A5:A139&lt;&gt;"")),        IF(B19&lt;&gt;"",            _xlfn._xlws.FILTER(_xlfn.HSTACK('Projects Follow UP'!A5:A139,'Projects Follow UP'!B5:B139,'Projects Follow UP'!C5:C139,'Projects Follow UP'!G5:G139),                (ISNUMBER(SEARCH(B19,'Projects Follow UP'!C5:C139))+ISNUMBER(SEARCH(B19,'Projects Follow UP'!E5:E139)))                *('Projects Follow UP'!A5:A139&lt;&gt;"")),        IF(E19&lt;&gt;"",            _xlfn._xlws.FILTER(_xlfn.HSTACK('Projects Follow UP'!A5:A139,'Projects Follow UP'!B5:B139,'Projects Follow UP'!C5:C139,'Projects Follow UP'!G5:G139),                (ISNUMBER(SEARCH(E19,'Projects Follow UP'!H5:H139)))                *('Projects Follow UP'!A5:A139&lt;&gt;"")),        "Enter search term above..."))),    "No projects found")</f>
        <v>No projects found</v>
      </c>
      <c r="C38" s="204"/>
      <c r="D38" s="204"/>
      <c r="E38" s="205"/>
      <c r="F38" s="210"/>
    </row>
    <row r="39" spans="1:6" ht="27.75" customHeight="1">
      <c r="A39" s="210"/>
      <c r="B39" s="192"/>
      <c r="C39" s="193"/>
      <c r="D39" s="193"/>
      <c r="E39" s="195"/>
      <c r="F39" s="210"/>
    </row>
    <row r="40" spans="1:6" ht="27.75" customHeight="1">
      <c r="A40" s="210"/>
      <c r="B40" s="203"/>
      <c r="C40" s="206"/>
      <c r="D40" s="206"/>
      <c r="E40" s="205"/>
      <c r="F40" s="210"/>
    </row>
    <row r="41" spans="1:6" ht="27.75" customHeight="1">
      <c r="A41" s="210"/>
      <c r="B41" s="192"/>
      <c r="C41" s="193"/>
      <c r="D41" s="193"/>
      <c r="E41" s="195"/>
      <c r="F41" s="210"/>
    </row>
    <row r="42" spans="1:6" ht="15" customHeight="1">
      <c r="A42" s="210"/>
      <c r="B42" s="203"/>
      <c r="C42" s="206"/>
      <c r="D42" s="206"/>
      <c r="E42" s="205"/>
      <c r="F42" s="210"/>
    </row>
    <row r="43" spans="1:6" ht="15" customHeight="1">
      <c r="A43" s="210"/>
      <c r="B43" s="192"/>
      <c r="C43" s="193"/>
      <c r="D43" s="193"/>
      <c r="E43" s="195"/>
      <c r="F43" s="210"/>
    </row>
    <row r="44" spans="1:6" ht="35.25" customHeight="1">
      <c r="A44" s="210"/>
      <c r="B44" s="203"/>
      <c r="C44" s="206"/>
      <c r="D44" s="206"/>
      <c r="E44" s="205"/>
      <c r="F44" s="210"/>
    </row>
    <row r="45" spans="1:6" ht="35.25" customHeight="1">
      <c r="A45" s="210"/>
      <c r="B45" s="192"/>
      <c r="C45" s="193"/>
      <c r="D45" s="193"/>
      <c r="E45" s="195"/>
      <c r="F45" s="210"/>
    </row>
    <row r="46" spans="1:6" ht="35.25" customHeight="1">
      <c r="A46" s="210"/>
      <c r="B46" s="203"/>
      <c r="C46" s="206"/>
      <c r="D46" s="206"/>
      <c r="E46" s="205"/>
      <c r="F46" s="210"/>
    </row>
    <row r="47" spans="1:6" ht="15" customHeight="1">
      <c r="A47" s="210"/>
      <c r="B47" s="207"/>
      <c r="C47" s="208"/>
      <c r="D47" s="208"/>
      <c r="E47" s="209"/>
      <c r="F47" s="210"/>
    </row>
    <row r="48" spans="1:6" ht="9.75" customHeight="1">
      <c r="A48" s="210"/>
      <c r="B48" s="65"/>
      <c r="C48" s="65"/>
      <c r="D48" s="65"/>
      <c r="E48" s="65"/>
      <c r="F48" s="210"/>
    </row>
    <row r="49" spans="1:6" ht="9.75" customHeight="1">
      <c r="A49" s="210"/>
      <c r="F49" s="210"/>
    </row>
    <row r="50" spans="1:6" ht="24.75" customHeight="1">
      <c r="A50" s="210"/>
      <c r="B50" s="364" t="s">
        <v>163</v>
      </c>
      <c r="C50" s="365"/>
      <c r="D50" s="365"/>
      <c r="E50" s="366"/>
      <c r="F50" s="210"/>
    </row>
    <row r="51" spans="1:6" ht="30" customHeight="1">
      <c r="A51" s="210"/>
      <c r="B51" s="186" t="str">
        <f>"Total: "&amp;COUNTIF('Projects Follow UP'!A5:A139,"&lt;&gt;")&amp;" Projects"</f>
        <v>Total: 135 Projects</v>
      </c>
      <c r="C51" s="184" t="str">
        <f>"Hot Leads: "&amp;COUNTIF('Hot Leads'!A2:A155,"&lt;&gt;")</f>
        <v>Hot Leads: 150</v>
      </c>
      <c r="D51" s="185" t="str">
        <f>"Pipeline: "&amp;TEXT(SUM('Projects Follow UP'!O:O),"#,##0")&amp;" SAR"</f>
        <v>Pipeline: 73,877,915 SAR</v>
      </c>
      <c r="E51" s="187" t="str">
        <f ca="1">"Due Today: "&amp;COUNTIFS('Hot Leads'!K:K,"&lt;="&amp;TODAY(),'Hot Leads'!K:K,"&lt;&gt;")</f>
        <v>Due Today: 0</v>
      </c>
      <c r="F51" s="210"/>
    </row>
    <row r="52" spans="1:6" ht="9.75" customHeight="1">
      <c r="A52" s="210"/>
      <c r="B52" s="210"/>
      <c r="C52" s="210"/>
      <c r="D52" s="210"/>
      <c r="E52" s="210"/>
      <c r="F52" s="210"/>
    </row>
    <row r="53" spans="1:6" ht="30" customHeight="1">
      <c r="A53" s="262"/>
      <c r="B53" s="375" t="s">
        <v>164</v>
      </c>
      <c r="C53" s="375"/>
      <c r="D53" s="375"/>
      <c r="E53" s="375"/>
    </row>
    <row r="54" spans="1:6">
      <c r="A54" s="262"/>
    </row>
    <row r="55" spans="1:6" ht="35.25" customHeight="1">
      <c r="A55" s="262"/>
      <c r="B55" s="376" t="s">
        <v>165</v>
      </c>
      <c r="C55" s="376"/>
      <c r="D55" s="376"/>
      <c r="E55" s="376"/>
    </row>
    <row r="56" spans="1:6">
      <c r="A56" s="262"/>
      <c r="B56" s="263" t="s">
        <v>166</v>
      </c>
      <c r="C56" s="263" t="s">
        <v>167</v>
      </c>
      <c r="D56" s="263" t="s">
        <v>168</v>
      </c>
      <c r="E56" s="263" t="s">
        <v>169</v>
      </c>
    </row>
    <row r="57" spans="1:6" ht="18">
      <c r="A57" s="262"/>
      <c r="B57" s="267">
        <v>17</v>
      </c>
      <c r="C57" s="267">
        <v>4</v>
      </c>
      <c r="D57" s="267">
        <v>2</v>
      </c>
      <c r="E57" s="267">
        <v>2026</v>
      </c>
    </row>
    <row r="58" spans="1:6" ht="24" customHeight="1">
      <c r="A58" s="262"/>
    </row>
    <row r="59" spans="1:6">
      <c r="A59" s="262"/>
      <c r="B59" s="377" t="s">
        <v>170</v>
      </c>
      <c r="C59" s="377"/>
      <c r="D59" s="377"/>
      <c r="E59" s="377"/>
    </row>
    <row r="60" spans="1:6" ht="30" customHeight="1">
      <c r="A60" s="262"/>
      <c r="B60" s="264" t="s">
        <v>171</v>
      </c>
      <c r="C60" s="264" t="s">
        <v>172</v>
      </c>
      <c r="D60" s="264" t="s">
        <v>173</v>
      </c>
      <c r="E60" s="264" t="s">
        <v>174</v>
      </c>
    </row>
    <row r="61" spans="1:6" ht="39.75" customHeight="1">
      <c r="A61" s="262"/>
      <c r="B61" s="273" cm="1">
        <f t="array" ref="B61">SUMPRODUCT((('Projects Follow UP'!$I$5:$I$139="Technical Submission")+('Projects Follow UP'!$I$5:$I$139="Technically Approved"))*(_xlfn.ISOWEEKNUM('Projects Follow UP'!$L$5:$L$139)=B57)*(YEAR('Projects Follow UP'!$L$5:$L$139)=E57))</f>
        <v>0</v>
      </c>
      <c r="C61" s="268" cm="1">
        <f t="array" ref="C61">SUMPRODUCT((('Projects Follow UP'!$I$5:$I$139="Technical Submission")+('Projects Follow UP'!$I$5:$I$139="Technically Approved"))*(MONTH('Projects Follow UP'!$L$5:$L$139)=C57)*(YEAR('Projects Follow UP'!$L$5:$L$139)=E57))</f>
        <v>0</v>
      </c>
      <c r="D61" s="268" cm="1">
        <f t="array" ref="D61">SUMPRODUCT((('Projects Follow UP'!$I$5:$I$139="Technical Submission")+('Projects Follow UP'!$I$5:$I$139="Technically Approved"))*(INT((MONTH('Projects Follow UP'!$L$5:$L$139)-1)/3)+1=D57)*(YEAR('Projects Follow UP'!$L$5:$L$139)=E57))</f>
        <v>0</v>
      </c>
      <c r="E61" s="268" cm="1">
        <f t="array" ref="E61">SUMPRODUCT((('Projects Follow UP'!$I$5:$I$139="Technical Submission")+('Projects Follow UP'!$I$5:$I$139="Technically Approved"))*(YEAR('Projects Follow UP'!$L$5:$L$139)=E57))</f>
        <v>0</v>
      </c>
    </row>
    <row r="62" spans="1:6">
      <c r="A62" s="262"/>
    </row>
    <row r="63" spans="1:6">
      <c r="A63" s="262"/>
      <c r="B63" s="371" t="s">
        <v>175</v>
      </c>
      <c r="C63" s="371"/>
      <c r="D63" s="371"/>
      <c r="E63" s="371"/>
    </row>
    <row r="64" spans="1:6">
      <c r="A64" s="262"/>
      <c r="B64" s="266" t="s">
        <v>176</v>
      </c>
      <c r="C64" s="266" t="s">
        <v>177</v>
      </c>
      <c r="D64" s="266" t="s">
        <v>178</v>
      </c>
      <c r="E64" s="266" t="s">
        <v>179</v>
      </c>
    </row>
    <row r="65" spans="1:5" ht="35.25" customHeight="1">
      <c r="A65" s="262"/>
      <c r="B65" s="269">
        <f>COUNTIF('Projects Follow UP'!$I:$I,"*Technical Submission*")</f>
        <v>0</v>
      </c>
      <c r="C65" s="265">
        <f>COUNTIF('Projects Follow UP'!$I:$I,"*Technically Approved*")</f>
        <v>0</v>
      </c>
      <c r="D65" s="270">
        <f>B65+C65</f>
        <v>0</v>
      </c>
      <c r="E65" s="271">
        <v>4</v>
      </c>
    </row>
    <row r="66" spans="1:5">
      <c r="A66" s="262"/>
    </row>
    <row r="67" spans="1:5" ht="27.75" customHeight="1">
      <c r="A67" s="262"/>
      <c r="B67" s="272" t="s">
        <v>180</v>
      </c>
      <c r="C67" s="372" t="str">
        <f>IF(C61&gt;=E65,"Target Met! ("&amp;C61&amp;"/"&amp;E65&amp;")","Need "&amp;(E65-C61)&amp;" more this month")</f>
        <v>Need 4 more this month</v>
      </c>
      <c r="D67" s="372"/>
      <c r="E67" s="372"/>
    </row>
    <row r="68" spans="1:5">
      <c r="A68" s="262"/>
    </row>
    <row r="69" spans="1:5">
      <c r="A69" s="262"/>
      <c r="B69" s="373" t="s">
        <v>181</v>
      </c>
      <c r="C69" s="373"/>
      <c r="D69" s="373"/>
      <c r="E69" s="373"/>
    </row>
    <row r="70" spans="1:5">
      <c r="A70" s="262"/>
      <c r="B70" s="374" t="s">
        <v>182</v>
      </c>
      <c r="C70" s="374"/>
      <c r="D70" s="374"/>
      <c r="E70" s="374"/>
    </row>
  </sheetData>
  <mergeCells count="14">
    <mergeCell ref="B63:E63"/>
    <mergeCell ref="C67:E67"/>
    <mergeCell ref="B69:E69"/>
    <mergeCell ref="B70:E70"/>
    <mergeCell ref="B53:E53"/>
    <mergeCell ref="B55:E55"/>
    <mergeCell ref="B59:E59"/>
    <mergeCell ref="B36:E36"/>
    <mergeCell ref="B50:E50"/>
    <mergeCell ref="B2:E2"/>
    <mergeCell ref="B4:E4"/>
    <mergeCell ref="B8:E8"/>
    <mergeCell ref="B17:E17"/>
    <mergeCell ref="B22:E22"/>
  </mergeCells>
  <conditionalFormatting sqref="B10:D10">
    <cfRule type="expression" dxfId="154" priority="1"/>
    <cfRule type="expression" dxfId="153" priority="2"/>
  </conditionalFormatting>
  <dataValidations count="1">
    <dataValidation type="list" allowBlank="1" showInputMessage="1" showErrorMessage="1" sqref="C20" xr:uid="{B1CE1681-9E83-43E2-AE0D-EA04ABE4F482}">
      <formula1>"Hot Leads,Projects,All"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6B6423-14A4-434B-9B87-2843FAF58E5B}">
          <x14:formula1>
            <xm:f>'Data Validation'!$C$2:$C$29</xm:f>
          </x14:formula1>
          <xm:sqref>E19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outlinePr summaryBelow="0" summaryRight="0"/>
  </sheetPr>
  <dimension ref="A1:S139"/>
  <sheetViews>
    <sheetView zoomScale="70" zoomScaleNormal="70" workbookViewId="0">
      <pane ySplit="4" topLeftCell="A16" activePane="bottomLeft" state="frozen"/>
      <selection activeCell="B1" sqref="B1"/>
      <selection pane="bottomLeft" activeCell="O19" sqref="O19"/>
    </sheetView>
  </sheetViews>
  <sheetFormatPr defaultColWidth="12.7109375" defaultRowHeight="15.75" customHeight="1"/>
  <cols>
    <col min="1" max="1" width="7.85546875" bestFit="1" customWidth="1"/>
    <col min="2" max="2" width="17.42578125" customWidth="1"/>
    <col min="3" max="3" width="30.7109375" bestFit="1" customWidth="1"/>
    <col min="4" max="4" width="21.28515625" style="46" customWidth="1"/>
    <col min="5" max="6" width="12.42578125" customWidth="1"/>
    <col min="7" max="7" width="7.7109375" bestFit="1" customWidth="1"/>
    <col min="8" max="8" width="15.5703125" customWidth="1"/>
    <col min="9" max="9" width="16.7109375" style="38" bestFit="1" customWidth="1"/>
    <col min="10" max="10" width="14.85546875" customWidth="1"/>
    <col min="11" max="11" width="25.140625" style="39" customWidth="1"/>
    <col min="12" max="12" width="10.42578125" bestFit="1" customWidth="1"/>
    <col min="13" max="13" width="17.7109375" style="38" customWidth="1"/>
    <col min="14" max="15" width="10.42578125" bestFit="1" customWidth="1"/>
    <col min="17" max="19" width="0" hidden="1" customWidth="1"/>
  </cols>
  <sheetData>
    <row r="1" spans="1:19" ht="14.25">
      <c r="A1" s="1"/>
      <c r="B1" s="2"/>
      <c r="C1" s="2"/>
      <c r="D1" s="53" t="s">
        <v>183</v>
      </c>
      <c r="E1" s="39">
        <f>COUNTIF(G5:G139, "In Hand")</f>
        <v>16</v>
      </c>
      <c r="F1" s="380" t="s">
        <v>184</v>
      </c>
      <c r="G1" s="380">
        <f>E1+E2</f>
        <v>22</v>
      </c>
      <c r="H1" s="382" t="s">
        <v>185</v>
      </c>
      <c r="I1" s="383">
        <f>COUNTIF(I5:I139, "Won") / COUNTA(I5:I139)</f>
        <v>0</v>
      </c>
      <c r="J1" s="380" t="s">
        <v>186</v>
      </c>
      <c r="K1" s="378">
        <f>SUM(J5:J139)</f>
        <v>73877915</v>
      </c>
      <c r="M1" s="2"/>
      <c r="N1" s="3"/>
    </row>
    <row r="2" spans="1:19" ht="14.25">
      <c r="A2" s="1"/>
      <c r="B2" s="2"/>
      <c r="C2" s="2"/>
      <c r="D2" s="53" t="s">
        <v>187</v>
      </c>
      <c r="E2" s="39">
        <f>COUNTIF(G5:G139, "Tender")</f>
        <v>6</v>
      </c>
      <c r="F2" s="381"/>
      <c r="G2" s="381"/>
      <c r="H2" s="381"/>
      <c r="I2" s="384"/>
      <c r="J2" s="381"/>
      <c r="K2" s="379"/>
      <c r="M2" s="2"/>
      <c r="N2" s="3"/>
    </row>
    <row r="3" spans="1:19" ht="21.75" customHeight="1">
      <c r="A3" s="1"/>
      <c r="B3" s="2"/>
      <c r="C3" s="2"/>
      <c r="D3" s="54" t="s">
        <v>188</v>
      </c>
      <c r="E3" s="39" t="str">
        <f>IF(COUNTIF(G5:G139,"In Hand")/(COUNTIF(G5:G139,"In Hand")+COUNTIF(G5:G139,"Tender"))&gt;=0.7, "Excellent Quality ✅", IF(COUNTIF(G5:G139,"In Hand")/(COUNTIF(G5:G139,"In Hand")+COUNTIF(G5:G139,"Tender"))&gt;=0.5, "Stable ⚖️", "Below Target ⚠️"))</f>
        <v>Excellent Quality ✅</v>
      </c>
      <c r="F3" s="381"/>
      <c r="G3" s="381"/>
      <c r="H3" s="381"/>
      <c r="I3" s="384"/>
      <c r="J3" s="381"/>
      <c r="K3" s="379"/>
      <c r="M3" s="2"/>
      <c r="N3" s="3"/>
    </row>
    <row r="4" spans="1:19" s="43" customFormat="1" ht="33" customHeight="1">
      <c r="A4" s="41" t="s">
        <v>189</v>
      </c>
      <c r="B4" s="42" t="s">
        <v>90</v>
      </c>
      <c r="C4" s="42" t="s">
        <v>161</v>
      </c>
      <c r="D4" s="55" t="s">
        <v>190</v>
      </c>
      <c r="E4" s="42" t="s">
        <v>191</v>
      </c>
      <c r="F4" s="42" t="s">
        <v>192</v>
      </c>
      <c r="G4" s="42" t="s">
        <v>193</v>
      </c>
      <c r="H4" s="42" t="s">
        <v>194</v>
      </c>
      <c r="I4" s="42" t="s">
        <v>29</v>
      </c>
      <c r="J4" s="42" t="s">
        <v>195</v>
      </c>
      <c r="K4" s="42" t="s">
        <v>196</v>
      </c>
      <c r="L4" s="42" t="s">
        <v>53</v>
      </c>
      <c r="M4" s="42" t="s">
        <v>197</v>
      </c>
      <c r="N4" s="42" t="s">
        <v>198</v>
      </c>
      <c r="O4" s="42" t="s">
        <v>199</v>
      </c>
      <c r="P4" s="214" t="s">
        <v>200</v>
      </c>
      <c r="Q4" s="257" t="s">
        <v>201</v>
      </c>
      <c r="R4" s="257" t="s">
        <v>202</v>
      </c>
      <c r="S4" s="257" t="s">
        <v>203</v>
      </c>
    </row>
    <row r="5" spans="1:19" ht="45.75" customHeight="1">
      <c r="A5" s="5" t="s">
        <v>204</v>
      </c>
      <c r="B5" s="4" t="s">
        <v>205</v>
      </c>
      <c r="C5" s="4" t="s">
        <v>206</v>
      </c>
      <c r="D5" s="32">
        <v>966540654038</v>
      </c>
      <c r="E5" s="2" t="s">
        <v>207</v>
      </c>
      <c r="F5" s="2" t="s">
        <v>208</v>
      </c>
      <c r="G5" s="2" t="s">
        <v>33</v>
      </c>
      <c r="H5" s="2" t="s">
        <v>31</v>
      </c>
      <c r="I5" s="2" t="s">
        <v>41</v>
      </c>
      <c r="J5" s="34">
        <v>337489</v>
      </c>
      <c r="K5" s="4" t="s">
        <v>209</v>
      </c>
      <c r="L5" s="6">
        <v>46126</v>
      </c>
      <c r="M5" s="4" t="s">
        <v>210</v>
      </c>
      <c r="N5" s="6"/>
      <c r="O5" s="44">
        <f>IFERROR(VALUE(SUBSTITUTE(TRIM(SUBSTITUTE(Projects_Follow_UP[[#This Row],[Est. value]],"SAR","")),",","")),0)</f>
        <v>337489</v>
      </c>
      <c r="P5" s="14"/>
      <c r="Q5" s="56"/>
      <c r="R5" s="56" t="str" cm="1">
        <f t="array" ref="R5">_xlfn.LET(_xlpm.x,_xlfn.XLOOKUP(A5,Dashboard!$M$61:$M$72,Dashboard!$J$61:$J$72,""),IF(_xlpm.x&lt;&gt;"",_xlpm.x,M5))</f>
        <v xml:space="preserve">رقمه مغلق حاليا و بعتله واتساب </v>
      </c>
      <c r="S5" s="341" t="str" cm="1">
        <f t="array" ref="S5">_xlfn.LET(_xlpm.x,_xlfn.XLOOKUP(A5,Dashboard!$M$61:$M$72,Dashboard!$K$61:$K$72,""),_xlpm.orig,N5,IF(_xlpm.x&lt;&gt;"",_xlpm.x,IF(OR(_xlpm.orig="",_xlpm.orig=0),"",_xlpm.orig)))</f>
        <v/>
      </c>
    </row>
    <row r="6" spans="1:19" ht="116.25" customHeight="1">
      <c r="A6" s="9" t="s">
        <v>102</v>
      </c>
      <c r="B6" s="7" t="s">
        <v>211</v>
      </c>
      <c r="C6" s="7" t="s">
        <v>212</v>
      </c>
      <c r="D6" s="33" t="s">
        <v>213</v>
      </c>
      <c r="E6" s="8" t="s">
        <v>214</v>
      </c>
      <c r="F6" s="8" t="s">
        <v>215</v>
      </c>
      <c r="G6" s="8" t="s">
        <v>33</v>
      </c>
      <c r="H6" s="8" t="s">
        <v>31</v>
      </c>
      <c r="I6" s="8" t="s">
        <v>41</v>
      </c>
      <c r="J6" s="35">
        <v>9619000</v>
      </c>
      <c r="K6" s="7" t="s">
        <v>216</v>
      </c>
      <c r="L6" s="10">
        <v>46132</v>
      </c>
      <c r="M6" s="7" t="s">
        <v>103</v>
      </c>
      <c r="N6" s="10"/>
      <c r="O6" s="45">
        <f>IFERROR(VALUE(SUBSTITUTE(TRIM(SUBSTITUTE(Projects_Follow_UP[[#This Row],[Est. value]],"SAR","")),",","")),0)</f>
        <v>9619000</v>
      </c>
      <c r="P6" s="14"/>
      <c r="Q6" s="56"/>
      <c r="R6" s="56" t="str" cm="1">
        <f t="array" ref="R6">_xlfn.LET(_xlpm.x,_xlfn.XLOOKUP(A6,Dashboard!$M$61:$M$72,Dashboard!$J$61:$J$72,""),IF(_xlpm.x&lt;&gt;"",_xlpm.x,M6))</f>
        <v>No Updates</v>
      </c>
      <c r="S6" s="341" cm="1">
        <f t="array" ref="S6">_xlfn.LET(_xlpm.x,_xlfn.XLOOKUP(A6,Dashboard!$M$61:$M$72,Dashboard!$K$61:$K$72,""),_xlpm.orig,N6,IF(_xlpm.x&lt;&gt;"",_xlpm.x,IF(OR(_xlpm.orig="",_xlpm.orig=0),"",_xlpm.orig)))</f>
        <v>46223</v>
      </c>
    </row>
    <row r="7" spans="1:19" ht="89.25">
      <c r="A7" s="5" t="s">
        <v>217</v>
      </c>
      <c r="B7" s="4" t="s">
        <v>218</v>
      </c>
      <c r="C7" s="4" t="s">
        <v>66</v>
      </c>
      <c r="D7" s="32">
        <v>966506694282</v>
      </c>
      <c r="E7" s="2" t="s">
        <v>219</v>
      </c>
      <c r="F7" s="2" t="s">
        <v>220</v>
      </c>
      <c r="G7" s="2" t="s">
        <v>30</v>
      </c>
      <c r="H7" s="2" t="s">
        <v>31</v>
      </c>
      <c r="I7" s="2" t="s">
        <v>41</v>
      </c>
      <c r="J7" s="34">
        <v>33000</v>
      </c>
      <c r="K7" s="4" t="s">
        <v>221</v>
      </c>
      <c r="L7" s="6">
        <v>46132</v>
      </c>
      <c r="M7" s="4" t="s">
        <v>222</v>
      </c>
      <c r="N7" s="6"/>
      <c r="O7" s="44">
        <f>IFERROR(VALUE(SUBSTITUTE(TRIM(SUBSTITUTE(Projects_Follow_UP[[#This Row],[Est. value]],"SAR","")),",","")),0)</f>
        <v>33000</v>
      </c>
      <c r="P7" s="14"/>
      <c r="Q7" s="56"/>
      <c r="R7" s="56" t="str" cm="1">
        <f t="array" ref="R7">_xlfn.LET(_xlpm.x,_xlfn.XLOOKUP(A7,Dashboard!$M$61:$M$72,Dashboard!$J$61:$J$72,""),IF(_xlpm.x&lt;&gt;"",_xlpm.x,M7))</f>
        <v>مديره رجع بس لسة بيظبط الدنيا معاه و حددت معاه ميتنج الاسبوع الجي عشان اقعد انا و هو نتكلم في الاسعار</v>
      </c>
      <c r="S7" s="341" t="str" cm="1">
        <f t="array" ref="S7">_xlfn.LET(_xlpm.x,_xlfn.XLOOKUP(A7,Dashboard!$M$61:$M$72,Dashboard!$K$61:$K$72,""),_xlpm.orig,N7,IF(_xlpm.x&lt;&gt;"",_xlpm.x,IF(OR(_xlpm.orig="",_xlpm.orig=0),"",_xlpm.orig)))</f>
        <v/>
      </c>
    </row>
    <row r="8" spans="1:19" ht="66.75" hidden="1" customHeight="1">
      <c r="A8" s="5" t="s">
        <v>100</v>
      </c>
      <c r="B8" s="4" t="s">
        <v>223</v>
      </c>
      <c r="C8" s="38" t="s">
        <v>72</v>
      </c>
      <c r="D8" s="32">
        <f>_xlfn.XLOOKUP(Projects_Follow_UP[[#This Row],[Client Name]],'Hot Leads'!A:A,'Hot Leads'!B:B,0,0)</f>
        <v>966549733284</v>
      </c>
      <c r="E8" s="32" t="str">
        <f>_xlfn.XLOOKUP(Projects_Follow_UP[[#This Row],[Client Phone Number]],'Hot Leads'!B:B,'Hot Leads'!C:C,0,0)</f>
        <v>Alsaad Contracting</v>
      </c>
      <c r="F8" s="32" t="str">
        <f>_xlfn.XLOOKUP(Projects_Follow_UP[[#This Row],[Client Name]],'Hot Leads'!A:A,'Hot Leads'!F:F, ,0)</f>
        <v>omar.abdullah@alsaad.com.sa</v>
      </c>
      <c r="G8" s="2" t="s">
        <v>30</v>
      </c>
      <c r="H8" s="2" t="s">
        <v>224</v>
      </c>
      <c r="I8" s="2" t="s">
        <v>225</v>
      </c>
      <c r="J8" s="34"/>
      <c r="K8" s="4" t="s">
        <v>226</v>
      </c>
      <c r="L8" s="6">
        <v>46144</v>
      </c>
      <c r="M8" s="4" t="s">
        <v>101</v>
      </c>
      <c r="N8" s="6">
        <v>46160</v>
      </c>
      <c r="O8" s="44">
        <f>IFERROR(VALUE(SUBSTITUTE(TRIM(SUBSTITUTE(Projects_Follow_UP[[#This Row],[Est. value]],"SAR","")),",","")),0)</f>
        <v>0</v>
      </c>
      <c r="P8" s="16"/>
      <c r="Q8" s="56"/>
      <c r="R8" s="56" t="str" cm="1">
        <f t="array" ref="R8">_xlfn.LET(_xlpm.x,_xlfn.XLOOKUP(A8,Dashboard!$M$61:$M$72,Dashboard!$J$61:$J$72,""),IF(_xlpm.x&lt;&gt;"",_xlpm.x,M8))</f>
        <v xml:space="preserve">كلمته و قالي مفيش اي ابديت جديد لسة مستنيه لما يقولي اخر الابديت و كلمته تاني انهاردة بس لسة مردش </v>
      </c>
      <c r="S8" s="341" cm="1">
        <f t="array" ref="S8">_xlfn.LET(_xlpm.x,_xlfn.XLOOKUP(A8,Dashboard!$M$61:$M$72,Dashboard!$K$61:$K$72,""),_xlpm.orig,N8,IF(_xlpm.x&lt;&gt;"",_xlpm.x,IF(OR(_xlpm.orig="",_xlpm.orig=0),"",_xlpm.orig)))</f>
        <v>46160</v>
      </c>
    </row>
    <row r="9" spans="1:19" ht="63" customHeight="1">
      <c r="A9" s="5" t="s">
        <v>227</v>
      </c>
      <c r="B9" s="277" t="s">
        <v>228</v>
      </c>
      <c r="C9" s="38" t="s">
        <v>70</v>
      </c>
      <c r="D9" s="32">
        <f>_xlfn.XLOOKUP(Projects_Follow_UP[[#This Row],[Client Name]],'Hot Leads'!A:A,'Hot Leads'!B:B,0,0)</f>
        <v>966554711520</v>
      </c>
      <c r="E9" s="32" t="str">
        <f>_xlfn.XLOOKUP(Projects_Follow_UP[[#This Row],[Client Phone Number]],'Hot Leads'!B:B,'Hot Leads'!C:C,0,0)</f>
        <v>IHCC</v>
      </c>
      <c r="F9" s="32" t="str">
        <f>_xlfn.XLOOKUP(Projects_Follow_UP[[#This Row],[Client Name]],'Hot Leads'!A:A,'Hot Leads'!F:F, ,0)</f>
        <v>y.adwi@ihcc.sa</v>
      </c>
      <c r="G9" s="2" t="s">
        <v>30</v>
      </c>
      <c r="H9" s="2" t="s">
        <v>34</v>
      </c>
      <c r="I9" s="2" t="s">
        <v>41</v>
      </c>
      <c r="J9" s="34">
        <v>450000</v>
      </c>
      <c r="K9" s="4" t="s">
        <v>229</v>
      </c>
      <c r="L9" s="6">
        <v>46146</v>
      </c>
      <c r="M9" s="4" t="s">
        <v>230</v>
      </c>
      <c r="N9" s="6"/>
      <c r="O9" s="44">
        <f>IFERROR(VALUE(SUBSTITUTE(TRIM(SUBSTITUTE(Projects_Follow_UP[[#This Row],[Est. value]],"SAR","")),",","")),0)</f>
        <v>450000</v>
      </c>
      <c r="P9" s="16"/>
      <c r="Q9" s="56"/>
      <c r="R9" s="56" t="str" cm="1">
        <f t="array" ref="R9">_xlfn.LET(_xlpm.x,_xlfn.XLOOKUP(A9,Dashboard!$M$61:$M$72,Dashboard!$J$61:$J$72,""),IF(_xlpm.x&lt;&gt;"",_xlpm.x,M9))</f>
        <v xml:space="preserve">المشروع حصل عليه Hold من SGH عشان البدجت مش مناسبة و لسة بيعملوا Value Engineering </v>
      </c>
      <c r="S9" s="341" t="str" cm="1">
        <f t="array" ref="S9">_xlfn.LET(_xlpm.x,_xlfn.XLOOKUP(A9,Dashboard!$M$61:$M$72,Dashboard!$K$61:$K$72,""),_xlpm.orig,N9,IF(_xlpm.x&lt;&gt;"",_xlpm.x,IF(OR(_xlpm.orig="",_xlpm.orig=0),"",_xlpm.orig)))</f>
        <v/>
      </c>
    </row>
    <row r="10" spans="1:19" ht="38.25">
      <c r="A10" s="5" t="s">
        <v>104</v>
      </c>
      <c r="B10" s="277" t="s">
        <v>231</v>
      </c>
      <c r="C10" s="38" t="s">
        <v>232</v>
      </c>
      <c r="D10" s="32">
        <f>_xlfn.XLOOKUP(Projects_Follow_UP[[#This Row],[Client Name]],'Hot Leads'!A:A,'Hot Leads'!B:B,0,0)</f>
        <v>966531895117</v>
      </c>
      <c r="E10" s="32" t="str">
        <f>_xlfn.XLOOKUP(Projects_Follow_UP[[#This Row],[Client Phone Number]],'Hot Leads'!B:B,'Hot Leads'!C:C,0,0)</f>
        <v>MACC</v>
      </c>
      <c r="F10" s="32" t="str">
        <f>_xlfn.XLOOKUP(Projects_Follow_UP[[#This Row],[Client Name]],'Hot Leads'!A:A,'Hot Leads'!F:F, ,0)</f>
        <v>omer.elhanoun@macc-fm.com</v>
      </c>
      <c r="G10" s="2" t="s">
        <v>30</v>
      </c>
      <c r="H10" s="2" t="s">
        <v>31</v>
      </c>
      <c r="I10" s="2" t="s">
        <v>41</v>
      </c>
      <c r="J10" s="34">
        <v>95000</v>
      </c>
      <c r="K10" s="4" t="s">
        <v>233</v>
      </c>
      <c r="L10" s="6">
        <v>46147</v>
      </c>
      <c r="M10" s="4" t="s">
        <v>105</v>
      </c>
      <c r="N10" s="6"/>
      <c r="O10" s="44">
        <f>IFERROR(VALUE(SUBSTITUTE(TRIM(SUBSTITUTE(Projects_Follow_UP[[#This Row],[Est. value]],"SAR","")),",","")),0)</f>
        <v>95000</v>
      </c>
      <c r="P10" s="16"/>
      <c r="Q10" s="56"/>
      <c r="R10" s="56" t="str" cm="1">
        <f t="array" ref="R10">_xlfn.LET(_xlpm.x,_xlfn.XLOOKUP(A10,Dashboard!$M$61:$M$72,Dashboard!$J$61:$J$72,""),IF(_xlpm.x&lt;&gt;"",_xlpm.x,M10))</f>
        <v xml:space="preserve">اتصلت بيه اكتر من مره و لسة مردش </v>
      </c>
      <c r="S10" s="341" cm="1">
        <f t="array" ref="S10">_xlfn.LET(_xlpm.x,_xlfn.XLOOKUP(A10,Dashboard!$M$61:$M$72,Dashboard!$K$61:$K$72,""),_xlpm.orig,N10,IF(_xlpm.x&lt;&gt;"",_xlpm.x,IF(OR(_xlpm.orig="",_xlpm.orig=0),"",_xlpm.orig)))</f>
        <v>46223</v>
      </c>
    </row>
    <row r="11" spans="1:19" ht="89.25" hidden="1">
      <c r="A11" s="9" t="s">
        <v>96</v>
      </c>
      <c r="B11" s="7" t="s">
        <v>234</v>
      </c>
      <c r="C11" s="255" t="s">
        <v>72</v>
      </c>
      <c r="D11" s="33">
        <f>_xlfn.XLOOKUP(Projects_Follow_UP[[#This Row],[Client Name]],'Hot Leads'!A:A,'Hot Leads'!B:B,0,0)</f>
        <v>966549733284</v>
      </c>
      <c r="E11" s="33" t="str">
        <f>_xlfn.XLOOKUP(Projects_Follow_UP[[#This Row],[Client Phone Number]],'Hot Leads'!B:B,'Hot Leads'!C:C,0,0)</f>
        <v>Alsaad Contracting</v>
      </c>
      <c r="F11" s="33" t="str">
        <f>_xlfn.XLOOKUP(Projects_Follow_UP[[#This Row],[Client Name]],'Hot Leads'!A:A,'Hot Leads'!F:F, ,0)</f>
        <v>omar.abdullah@alsaad.com.sa</v>
      </c>
      <c r="G11" s="8" t="s">
        <v>33</v>
      </c>
      <c r="H11" s="8" t="s">
        <v>31</v>
      </c>
      <c r="I11" s="8" t="s">
        <v>235</v>
      </c>
      <c r="J11" s="35"/>
      <c r="K11" s="7" t="s">
        <v>236</v>
      </c>
      <c r="L11" s="10">
        <v>46147</v>
      </c>
      <c r="M11" s="7" t="s">
        <v>97</v>
      </c>
      <c r="N11" s="10">
        <v>46156</v>
      </c>
      <c r="O11" s="45">
        <f>IFERROR(VALUE(SUBSTITUTE(TRIM(SUBSTITUTE(Projects_Follow_UP[[#This Row],[Est. value]],"SAR","")),",","")),0)</f>
        <v>0</v>
      </c>
      <c r="P11" s="256"/>
      <c r="Q11" s="56"/>
      <c r="R11" s="56" t="str" cm="1">
        <f t="array" ref="R11">_xlfn.LET(_xlpm.x,_xlfn.XLOOKUP(A11,Dashboard!$M$61:$M$72,Dashboard!$J$61:$J$72,""),IF(_xlpm.x&lt;&gt;"",_xlpm.x,M11))</f>
        <v xml:space="preserve">لسة مفيش جديد عامله هول عشان عمر نفسه مش بيرد عليا لسة اول ما يرد كمل تسعير فالمشروع بلص ان مفيش تشانيل اصلا </v>
      </c>
      <c r="S11" s="341" cm="1">
        <f t="array" ref="S11">_xlfn.LET(_xlpm.x,_xlfn.XLOOKUP(A11,Dashboard!$M$61:$M$72,Dashboard!$K$61:$K$72,""),_xlpm.orig,N11,IF(_xlpm.x&lt;&gt;"",_xlpm.x,IF(OR(_xlpm.orig="",_xlpm.orig=0),"",_xlpm.orig)))</f>
        <v>46156</v>
      </c>
    </row>
    <row r="12" spans="1:19" ht="78" hidden="1" customHeight="1">
      <c r="A12" s="5" t="s">
        <v>94</v>
      </c>
      <c r="B12" s="4" t="s">
        <v>237</v>
      </c>
      <c r="C12" s="38" t="s">
        <v>238</v>
      </c>
      <c r="D12" s="32">
        <f>_xlfn.XLOOKUP(Projects_Follow_UP[[#This Row],[Client Name]],'Hot Leads'!A:A,'Hot Leads'!B:B,0,0)</f>
        <v>966537929837</v>
      </c>
      <c r="E12" s="33" t="str">
        <f>_xlfn.XLOOKUP(Projects_Follow_UP[[#This Row],[Client Phone Number]],'Hot Leads'!B:B,'Hot Leads'!C:C,0,0)</f>
        <v>Creet</v>
      </c>
      <c r="F12" s="32">
        <f>_xlfn.XLOOKUP(Projects_Follow_UP[[#This Row],[Client Name]],'Hot Leads'!A:A,'Hot Leads'!F:F, ,0)</f>
        <v>0</v>
      </c>
      <c r="G12" s="2" t="s">
        <v>30</v>
      </c>
      <c r="H12" s="2" t="s">
        <v>31</v>
      </c>
      <c r="I12" s="2" t="s">
        <v>39</v>
      </c>
      <c r="J12" s="34">
        <v>2490000</v>
      </c>
      <c r="K12" s="4" t="s">
        <v>239</v>
      </c>
      <c r="L12" s="6">
        <v>46148</v>
      </c>
      <c r="M12" s="4" t="s">
        <v>95</v>
      </c>
      <c r="N12" s="6">
        <v>46151</v>
      </c>
      <c r="O12" s="44">
        <f>IFERROR(VALUE(SUBSTITUTE(TRIM(SUBSTITUTE(Projects_Follow_UP[[#This Row],[Est. value]],"SAR","")),",","")),0)</f>
        <v>2490000</v>
      </c>
      <c r="P12" s="16"/>
      <c r="Q12" s="56"/>
      <c r="R12" s="56" t="str" cm="1">
        <f t="array" ref="R12">_xlfn.LET(_xlpm.x,_xlfn.XLOOKUP(A12,Dashboard!$M$61:$M$72,Dashboard!$J$61:$J$72,""),IF(_xlpm.x&lt;&gt;"",_xlpm.x,M12))</f>
        <v>المشروع هيخلص اقصى حاجة يوم السبت و المشروع ده مهم جدا لابعد حد عشان نقدر ناخد الباكدج كاملة</v>
      </c>
      <c r="S12" s="341" cm="1">
        <f t="array" ref="S12">_xlfn.LET(_xlpm.x,_xlfn.XLOOKUP(A12,Dashboard!$M$61:$M$72,Dashboard!$K$61:$K$72,""),_xlpm.orig,N12,IF(_xlpm.x&lt;&gt;"",_xlpm.x,IF(OR(_xlpm.orig="",_xlpm.orig=0),"",_xlpm.orig)))</f>
        <v>46389</v>
      </c>
    </row>
    <row r="13" spans="1:19" ht="76.5">
      <c r="A13" s="5" t="s">
        <v>109</v>
      </c>
      <c r="B13" s="277" t="s">
        <v>240</v>
      </c>
      <c r="C13" s="38" t="s">
        <v>241</v>
      </c>
      <c r="D13" s="32">
        <f>_xlfn.XLOOKUP(Projects_Follow_UP[[#This Row],[Client Name]],'Hot Leads'!A:A,'Hot Leads'!B:B,0,0)</f>
        <v>966582792050</v>
      </c>
      <c r="E13" s="32" t="str">
        <f>_xlfn.XLOOKUP(Projects_Follow_UP[[#This Row],[Client Phone Number]],'Hot Leads'!B:B,'Hot Leads'!C:C,0,0)</f>
        <v>GRC</v>
      </c>
      <c r="F13" s="32">
        <f>_xlfn.XLOOKUP(Projects_Follow_UP[[#This Row],[Client Name]],'Hot Leads'!A:A,'Hot Leads'!F:F, ,0)</f>
        <v>0</v>
      </c>
      <c r="G13" s="2" t="s">
        <v>30</v>
      </c>
      <c r="H13" s="2" t="s">
        <v>40</v>
      </c>
      <c r="I13" s="2" t="s">
        <v>41</v>
      </c>
      <c r="J13" s="34">
        <v>206000</v>
      </c>
      <c r="K13" s="4" t="s">
        <v>242</v>
      </c>
      <c r="L13" s="6">
        <v>46148</v>
      </c>
      <c r="M13" s="4" t="s">
        <v>110</v>
      </c>
      <c r="N13" s="6"/>
      <c r="O13" s="44">
        <f>IFERROR(VALUE(SUBSTITUTE(TRIM(SUBSTITUTE(Projects_Follow_UP[[#This Row],[Est. value]],"SAR","")),",","")),0)</f>
        <v>206000</v>
      </c>
      <c r="P13" s="16"/>
      <c r="Q13" s="56"/>
      <c r="R13" s="56" t="str" cm="1">
        <f t="array" ref="R13">_xlfn.LET(_xlpm.x,_xlfn.XLOOKUP(A13,Dashboard!$M$61:$M$72,Dashboard!$J$61:$J$72,""),IF(_xlpm.x&lt;&gt;"",_xlpm.x,M13))</f>
        <v xml:space="preserve">قالي انه عامل للمشاريع هولد و مستني يفضى عشان يقارن الاسعار الي بعتنهاله </v>
      </c>
      <c r="S13" s="341" cm="1">
        <f t="array" ref="S13">_xlfn.LET(_xlpm.x,_xlfn.XLOOKUP(A13,Dashboard!$M$61:$M$72,Dashboard!$K$61:$K$72,""),_xlpm.orig,N13,IF(_xlpm.x&lt;&gt;"",_xlpm.x,IF(OR(_xlpm.orig="",_xlpm.orig=0),"",_xlpm.orig)))</f>
        <v>46231</v>
      </c>
    </row>
    <row r="14" spans="1:19" ht="76.5">
      <c r="A14" s="5" t="s">
        <v>111</v>
      </c>
      <c r="B14" s="4" t="s">
        <v>243</v>
      </c>
      <c r="C14" s="38" t="s">
        <v>241</v>
      </c>
      <c r="D14" s="32">
        <f>_xlfn.XLOOKUP(Projects_Follow_UP[[#This Row],[Client Name]],'Hot Leads'!A:A,'Hot Leads'!B:B,0,0)</f>
        <v>966582792050</v>
      </c>
      <c r="E14" s="32" t="str">
        <f>_xlfn.XLOOKUP(Projects_Follow_UP[[#This Row],[Client Phone Number]],'Hot Leads'!B:B,'Hot Leads'!C:C,0,0)</f>
        <v>GRC</v>
      </c>
      <c r="F14" s="32">
        <f>_xlfn.XLOOKUP(Projects_Follow_UP[[#This Row],[Client Name]],'Hot Leads'!A:A,'Hot Leads'!F:F, ,0)</f>
        <v>0</v>
      </c>
      <c r="G14" s="2" t="s">
        <v>30</v>
      </c>
      <c r="H14" s="2" t="s">
        <v>40</v>
      </c>
      <c r="I14" s="2" t="s">
        <v>41</v>
      </c>
      <c r="J14" s="34">
        <v>220000</v>
      </c>
      <c r="K14" s="4" t="s">
        <v>244</v>
      </c>
      <c r="L14" s="6">
        <v>46148</v>
      </c>
      <c r="M14" s="4" t="s">
        <v>110</v>
      </c>
      <c r="N14" s="6"/>
      <c r="O14" s="44">
        <f>IFERROR(VALUE(SUBSTITUTE(TRIM(SUBSTITUTE(Projects_Follow_UP[[#This Row],[Est. value]],"SAR","")),",","")),0)</f>
        <v>220000</v>
      </c>
      <c r="P14" s="16"/>
      <c r="Q14" s="56"/>
      <c r="R14" s="56" t="str" cm="1">
        <f t="array" ref="R14">_xlfn.LET(_xlpm.x,_xlfn.XLOOKUP(A14,Dashboard!$M$61:$M$72,Dashboard!$J$61:$J$72,""),IF(_xlpm.x&lt;&gt;"",_xlpm.x,M14))</f>
        <v xml:space="preserve">قالي انه عامل للمشاريع هولد و مستني يفضى عشان يقارن الاسعار الي بعتنهاله </v>
      </c>
      <c r="S14" s="341" cm="1">
        <f t="array" ref="S14">_xlfn.LET(_xlpm.x,_xlfn.XLOOKUP(A14,Dashboard!$M$61:$M$72,Dashboard!$K$61:$K$72,""),_xlpm.orig,N14,IF(_xlpm.x&lt;&gt;"",_xlpm.x,IF(OR(_xlpm.orig="",_xlpm.orig=0),"",_xlpm.orig)))</f>
        <v>46231</v>
      </c>
    </row>
    <row r="15" spans="1:19" ht="80.25" hidden="1" customHeight="1">
      <c r="A15" s="5" t="s">
        <v>98</v>
      </c>
      <c r="B15" s="4" t="s">
        <v>245</v>
      </c>
      <c r="C15" s="38" t="s">
        <v>246</v>
      </c>
      <c r="D15" s="32">
        <f>_xlfn.XLOOKUP(Projects_Follow_UP[[#This Row],[Client Name]],'Hot Leads'!A:A,'Hot Leads'!B:B,0,0)</f>
        <v>966581469699</v>
      </c>
      <c r="E15" s="32" t="str">
        <f>_xlfn.XLOOKUP(Projects_Follow_UP[[#This Row],[Client Phone Number]],'Hot Leads'!B:B,'Hot Leads'!C:C,0,0)</f>
        <v>KFOCO</v>
      </c>
      <c r="F15" s="32" t="str">
        <f>_xlfn.XLOOKUP(Projects_Follow_UP[[#This Row],[Client Name]],'Hot Leads'!A:A,'Hot Leads'!F:F, ,0)</f>
        <v>ak@kfoco.com</v>
      </c>
      <c r="G15" s="2" t="s">
        <v>30</v>
      </c>
      <c r="H15" s="2" t="s">
        <v>31</v>
      </c>
      <c r="I15" s="2" t="s">
        <v>225</v>
      </c>
      <c r="J15" s="34"/>
      <c r="K15" s="7" t="s">
        <v>247</v>
      </c>
      <c r="L15" s="6">
        <v>46153</v>
      </c>
      <c r="M15" s="4" t="s">
        <v>99</v>
      </c>
      <c r="N15" s="6">
        <v>46158</v>
      </c>
      <c r="O15" s="44">
        <f>IFERROR(VALUE(SUBSTITUTE(TRIM(SUBSTITUTE(Projects_Follow_UP[[#This Row],[Est. value]],"SAR","")),",","")),0)</f>
        <v>0</v>
      </c>
      <c r="P15" s="16"/>
      <c r="Q15" s="56"/>
      <c r="R15" s="56" t="str" cm="1">
        <f t="array" ref="R15">_xlfn.LET(_xlpm.x,_xlfn.XLOOKUP(A15,Dashboard!$M$61:$M$72,Dashboard!$J$61:$J$72,""),IF(_xlpm.x&lt;&gt;"",_xlpm.x,M15))</f>
        <v>اتواصل مع ايمن شوف المشاريع الجديدة الي معاه</v>
      </c>
      <c r="S15" s="341" cm="1">
        <f t="array" ref="S15">_xlfn.LET(_xlpm.x,_xlfn.XLOOKUP(A15,Dashboard!$M$61:$M$72,Dashboard!$K$61:$K$72,""),_xlpm.orig,N15,IF(_xlpm.x&lt;&gt;"",_xlpm.x,IF(OR(_xlpm.orig="",_xlpm.orig=0),"",_xlpm.orig)))</f>
        <v>46158</v>
      </c>
    </row>
    <row r="16" spans="1:19" ht="38.25">
      <c r="A16" s="5" t="s">
        <v>112</v>
      </c>
      <c r="B16" s="4" t="s">
        <v>248</v>
      </c>
      <c r="C16" s="38" t="s">
        <v>249</v>
      </c>
      <c r="D16" s="32">
        <f>_xlfn.XLOOKUP(Projects_Follow_UP[[#This Row],[Client Name]],'Hot Leads'!A:A,'Hot Leads'!B:B,0,0)</f>
        <v>966560374964</v>
      </c>
      <c r="E16" s="32" t="str">
        <f>_xlfn.XLOOKUP(Projects_Follow_UP[[#This Row],[Client Phone Number]],'Hot Leads'!B:B,'Hot Leads'!C:C,0,0)</f>
        <v>AlShamela</v>
      </c>
      <c r="F16" s="32" t="str">
        <f>_xlfn.XLOOKUP(Projects_Follow_UP[[#This Row],[Client Name]],'Hot Leads'!A:A,'Hot Leads'!F:F, ,0)</f>
        <v>hemlyac@alshamela.com.sa</v>
      </c>
      <c r="G16" s="2" t="s">
        <v>33</v>
      </c>
      <c r="H16" s="2" t="s">
        <v>31</v>
      </c>
      <c r="I16" s="2" t="s">
        <v>41</v>
      </c>
      <c r="J16" s="34">
        <v>27765033</v>
      </c>
      <c r="K16" s="4" t="s">
        <v>250</v>
      </c>
      <c r="L16" s="6">
        <v>46223</v>
      </c>
      <c r="M16" s="4" t="s">
        <v>251</v>
      </c>
      <c r="N16" s="6">
        <v>46250</v>
      </c>
      <c r="O16" s="44">
        <f>IFERROR(VALUE(SUBSTITUTE(TRIM(SUBSTITUTE(Projects_Follow_UP[[#This Row],[Est. value]],"SAR","")),",","")),0)</f>
        <v>27765033</v>
      </c>
      <c r="P16" s="18"/>
      <c r="Q16" s="56"/>
      <c r="R16" s="56" t="str" cm="1">
        <f t="array" ref="R16">_xlfn.LET(_xlpm.x,_xlfn.XLOOKUP(A16,Dashboard!$M$61:$M$72,Dashboard!$J$61:$J$72,""),IF(_xlpm.x&lt;&gt;"",_xlpm.x,M16))</f>
        <v>QT</v>
      </c>
      <c r="S16" s="341" cm="1">
        <f t="array" ref="S16">_xlfn.LET(_xlpm.x,_xlfn.XLOOKUP(A16,Dashboard!$M$61:$M$72,Dashboard!$K$61:$K$72,""),_xlpm.orig,N16,IF(_xlpm.x&lt;&gt;"",_xlpm.x,IF(OR(_xlpm.orig="",_xlpm.orig=0),"",_xlpm.orig)))</f>
        <v>46231</v>
      </c>
    </row>
    <row r="17" spans="1:19" ht="36.75" customHeight="1">
      <c r="A17" s="5" t="s">
        <v>106</v>
      </c>
      <c r="B17" s="4" t="s">
        <v>252</v>
      </c>
      <c r="C17" s="38" t="s">
        <v>253</v>
      </c>
      <c r="D17" s="32">
        <f>_xlfn.XLOOKUP(Projects_Follow_UP[[#This Row],[Client Name]],'Hot Leads'!A:A,'Hot Leads'!B:B,0,0)</f>
        <v>966592851015</v>
      </c>
      <c r="E17" s="32" t="str">
        <f>_xlfn.XLOOKUP(Projects_Follow_UP[[#This Row],[Client Phone Number]],'Hot Leads'!B:B,'Hot Leads'!C:C,0,0)</f>
        <v>MAG المجال العربي</v>
      </c>
      <c r="F17" s="32" t="str">
        <f>_xlfn.XLOOKUP(Projects_Follow_UP[[#This Row],[Client Name]],'Hot Leads'!A:A,'Hot Leads'!F:F, ,0)</f>
        <v>a.alessa@mag-sa.com</v>
      </c>
      <c r="G17" s="2" t="s">
        <v>30</v>
      </c>
      <c r="H17" s="2" t="s">
        <v>34</v>
      </c>
      <c r="I17" s="2" t="s">
        <v>41</v>
      </c>
      <c r="J17" s="34">
        <v>47000</v>
      </c>
      <c r="K17" s="4" t="s">
        <v>254</v>
      </c>
      <c r="L17" s="6">
        <v>46223</v>
      </c>
      <c r="M17" s="4" t="s">
        <v>107</v>
      </c>
      <c r="N17" s="6">
        <v>46228</v>
      </c>
      <c r="O17" s="44">
        <f>IFERROR(VALUE(SUBSTITUTE(TRIM(SUBSTITUTE(Projects_Follow_UP[[#This Row],[Est. value]],"SAR","")),",","")),0)</f>
        <v>47000</v>
      </c>
      <c r="P17" s="18"/>
      <c r="Q17" s="56"/>
      <c r="R17" s="56" t="str" cm="1">
        <f t="array" ref="R17">_xlfn.LET(_xlpm.x,_xlfn.XLOOKUP(A17,Dashboard!$M$61:$M$72,Dashboard!$J$61:$J$72,""),IF(_xlpm.x&lt;&gt;"",_xlpm.x,M17))</f>
        <v>QT</v>
      </c>
      <c r="S17" s="341" cm="1">
        <f t="array" ref="S17">_xlfn.LET(_xlpm.x,_xlfn.XLOOKUP(A17,Dashboard!$M$61:$M$72,Dashboard!$K$61:$K$72,""),_xlpm.orig,N17,IF(_xlpm.x&lt;&gt;"",_xlpm.x,IF(OR(_xlpm.orig="",_xlpm.orig=0),"",_xlpm.orig)))</f>
        <v>46228</v>
      </c>
    </row>
    <row r="18" spans="1:19" ht="25.5">
      <c r="A18" s="5" t="s">
        <v>113</v>
      </c>
      <c r="B18" s="4" t="s">
        <v>255</v>
      </c>
      <c r="C18" s="38" t="s">
        <v>70</v>
      </c>
      <c r="D18" s="32">
        <f>_xlfn.XLOOKUP(Projects_Follow_UP[[#This Row],[Client Name]],'Hot Leads'!A:A,'Hot Leads'!B:B,0,0)</f>
        <v>966554711520</v>
      </c>
      <c r="E18" s="32" t="str">
        <f>_xlfn.XLOOKUP(Projects_Follow_UP[[#This Row],[Client Phone Number]],'Hot Leads'!B:B,'Hot Leads'!C:C,0,0)</f>
        <v>IHCC</v>
      </c>
      <c r="F18" s="32" t="str">
        <f>_xlfn.XLOOKUP(Projects_Follow_UP[[#This Row],[Client Name]],'Hot Leads'!A:A,'Hot Leads'!F:F, ,0)</f>
        <v>y.adwi@ihcc.sa</v>
      </c>
      <c r="G18" s="2" t="s">
        <v>33</v>
      </c>
      <c r="H18" s="2" t="s">
        <v>40</v>
      </c>
      <c r="I18" s="2" t="s">
        <v>32</v>
      </c>
      <c r="J18" s="34">
        <v>1209293</v>
      </c>
      <c r="K18" s="4" t="s">
        <v>256</v>
      </c>
      <c r="L18" s="6">
        <v>46226</v>
      </c>
      <c r="M18" s="4" t="s">
        <v>257</v>
      </c>
      <c r="N18" s="6">
        <v>46257</v>
      </c>
      <c r="O18" s="44">
        <f>IFERROR(VALUE(SUBSTITUTE(TRIM(SUBSTITUTE(Projects_Follow_UP[[#This Row],[Est. value]],"SAR","")),",","")),0)</f>
        <v>1209293</v>
      </c>
      <c r="P18" s="18"/>
      <c r="Q18" s="56"/>
      <c r="R18" s="56" t="str" cm="1">
        <f t="array" ref="R18">_xlfn.LET(_xlpm.x,_xlfn.XLOOKUP(A18,Dashboard!$M$61:$M$72,Dashboard!$J$61:$J$72,""),IF(_xlpm.x&lt;&gt;"",_xlpm.x,M18))</f>
        <v>QT</v>
      </c>
      <c r="S18" s="341" cm="1">
        <f t="array" ref="S18">_xlfn.LET(_xlpm.x,_xlfn.XLOOKUP(A18,Dashboard!$M$61:$M$72,Dashboard!$K$61:$K$72,""),_xlpm.orig,N18,IF(_xlpm.x&lt;&gt;"",_xlpm.x,IF(OR(_xlpm.orig="",_xlpm.orig=0),"",_xlpm.orig)))</f>
        <v>46235</v>
      </c>
    </row>
    <row r="19" spans="1:19" ht="25.5">
      <c r="A19" s="5" t="s">
        <v>108</v>
      </c>
      <c r="B19" s="4" t="s">
        <v>258</v>
      </c>
      <c r="C19" s="38" t="s">
        <v>259</v>
      </c>
      <c r="D19" s="32">
        <f>_xlfn.XLOOKUP(Projects_Follow_UP[[#This Row],[Client Name]],'Hot Leads'!A:A,'Hot Leads'!B:B,0,0)</f>
        <v>966545150782</v>
      </c>
      <c r="E19" s="32" t="str">
        <f>_xlfn.XLOOKUP(Projects_Follow_UP[[#This Row],[Client Phone Number]],'Hot Leads'!B:B,'Hot Leads'!C:C,0,0)</f>
        <v>تيسر للتجارة</v>
      </c>
      <c r="F19" s="32">
        <f>_xlfn.XLOOKUP(Projects_Follow_UP[[#This Row],[Client Name]],'Hot Leads'!A:A,'Hot Leads'!F:F, ,0)</f>
        <v>0</v>
      </c>
      <c r="G19" s="2" t="s">
        <v>30</v>
      </c>
      <c r="H19" s="2" t="s">
        <v>34</v>
      </c>
      <c r="I19" s="2" t="s">
        <v>41</v>
      </c>
      <c r="J19" s="34">
        <v>5400000</v>
      </c>
      <c r="K19" s="4" t="s">
        <v>260</v>
      </c>
      <c r="L19" s="6">
        <v>46231</v>
      </c>
      <c r="M19" s="4" t="s">
        <v>107</v>
      </c>
      <c r="N19" s="6">
        <v>46257</v>
      </c>
      <c r="O19" s="44">
        <f>IFERROR(VALUE(SUBSTITUTE(TRIM(SUBSTITUTE(Projects_Follow_UP[[#This Row],[Est. value]],"SAR","")),",","")),0)</f>
        <v>5400000</v>
      </c>
      <c r="P19" s="18"/>
      <c r="Q19" s="56"/>
      <c r="R19" s="56" t="str" cm="1">
        <f t="array" ref="R19">_xlfn.LET(_xlpm.x,_xlfn.XLOOKUP(A19,Dashboard!$M$61:$M$72,Dashboard!$J$61:$J$72,""),IF(_xlpm.x&lt;&gt;"",_xlpm.x,M19))</f>
        <v>QT</v>
      </c>
      <c r="S19" s="341" cm="1">
        <f t="array" ref="S19">_xlfn.LET(_xlpm.x,_xlfn.XLOOKUP(A19,Dashboard!$M$61:$M$72,Dashboard!$K$61:$K$72,""),_xlpm.orig,N19,IF(_xlpm.x&lt;&gt;"",_xlpm.x,IF(OR(_xlpm.orig="",_xlpm.orig=0),"",_xlpm.orig)))</f>
        <v>46229</v>
      </c>
    </row>
    <row r="20" spans="1:19" ht="25.5" hidden="1">
      <c r="A20" s="5" t="s">
        <v>261</v>
      </c>
      <c r="B20" s="4" t="s">
        <v>262</v>
      </c>
      <c r="C20" s="38" t="s">
        <v>263</v>
      </c>
      <c r="D20" s="32">
        <f>_xlfn.XLOOKUP(Projects_Follow_UP[[#This Row],[Client Name]],'Hot Leads'!A:A,'Hot Leads'!B:B,0,0)</f>
        <v>966500810545</v>
      </c>
      <c r="E20" s="32" t="str">
        <f>_xlfn.XLOOKUP(Projects_Follow_UP[[#This Row],[Client Phone Number]],'Hot Leads'!B:B,'Hot Leads'!C:C,0,0)</f>
        <v>سعود الصاعدي</v>
      </c>
      <c r="F20" s="32">
        <f>_xlfn.XLOOKUP(Projects_Follow_UP[[#This Row],[Client Name]],'Hot Leads'!A:A,'Hot Leads'!F:F, ,0)</f>
        <v>0</v>
      </c>
      <c r="G20" s="2" t="s">
        <v>30</v>
      </c>
      <c r="H20" s="2" t="s">
        <v>34</v>
      </c>
      <c r="I20" s="2" t="s">
        <v>32</v>
      </c>
      <c r="J20" s="34"/>
      <c r="K20" s="4" t="s">
        <v>264</v>
      </c>
      <c r="L20" s="6">
        <v>46236</v>
      </c>
      <c r="M20" s="4" t="s">
        <v>107</v>
      </c>
      <c r="N20" s="6">
        <v>46243</v>
      </c>
      <c r="O20" s="44">
        <f>IFERROR(VALUE(SUBSTITUTE(TRIM(SUBSTITUTE(Projects_Follow_UP[[#This Row],[Est. value]],"SAR","")),",","")),0)</f>
        <v>0</v>
      </c>
      <c r="P20" s="18"/>
      <c r="Q20" s="56"/>
      <c r="R20" s="56" t="str" cm="1">
        <f t="array" ref="R20">_xlfn.LET(_xlpm.x,_xlfn.XLOOKUP(A20,Dashboard!$M$61:$M$72,Dashboard!$J$61:$J$72,""),IF(_xlpm.x&lt;&gt;"",_xlpm.x,M20))</f>
        <v>QT</v>
      </c>
      <c r="S20" s="341" cm="1">
        <f t="array" ref="S20">_xlfn.LET(_xlpm.x,_xlfn.XLOOKUP(A20,Dashboard!$M$61:$M$72,Dashboard!$K$61:$K$72,""),_xlpm.orig,N20,IF(_xlpm.x&lt;&gt;"",_xlpm.x,IF(OR(_xlpm.orig="",_xlpm.orig=0),"",_xlpm.orig)))</f>
        <v>46243</v>
      </c>
    </row>
    <row r="21" spans="1:19" ht="51">
      <c r="A21" s="5" t="s">
        <v>265</v>
      </c>
      <c r="B21" s="277" t="s">
        <v>266</v>
      </c>
      <c r="C21" s="38" t="s">
        <v>267</v>
      </c>
      <c r="D21" s="32">
        <f>_xlfn.XLOOKUP(Projects_Follow_UP[[#This Row],[Client Name]],'Hot Leads'!A:A,'Hot Leads'!B:B,0,0)</f>
        <v>966537964254</v>
      </c>
      <c r="E21" s="32" t="str">
        <f>_xlfn.XLOOKUP(Projects_Follow_UP[[#This Row],[Client Phone Number]],'Hot Leads'!B:B,'Hot Leads'!C:C,0,0)</f>
        <v>EMCO TECH Buna Sister Company</v>
      </c>
      <c r="F21" s="32">
        <f>_xlfn.XLOOKUP(Projects_Follow_UP[[#This Row],[Client Name]],'Hot Leads'!A:A,'Hot Leads'!F:F, ,0)</f>
        <v>0</v>
      </c>
      <c r="G21" s="2" t="s">
        <v>30</v>
      </c>
      <c r="H21" s="2" t="s">
        <v>42</v>
      </c>
      <c r="I21" s="2" t="s">
        <v>41</v>
      </c>
      <c r="J21" s="34">
        <v>8836100</v>
      </c>
      <c r="K21" s="4" t="s">
        <v>268</v>
      </c>
      <c r="L21" s="6">
        <v>46243</v>
      </c>
      <c r="M21" s="277" t="s">
        <v>269</v>
      </c>
      <c r="N21" s="6">
        <v>46267</v>
      </c>
      <c r="O21" s="44">
        <f>IFERROR(VALUE(SUBSTITUTE(TRIM(SUBSTITUTE(Projects_Follow_UP[[#This Row],[Est. value]],"SAR","")),",","")),0)</f>
        <v>8836100</v>
      </c>
      <c r="P21" s="18"/>
      <c r="Q21" s="56"/>
      <c r="R21" s="56" t="str" cm="1">
        <f t="array" ref="R21">_xlfn.LET(_xlpm.x,_xlfn.XLOOKUP(A21,Dashboard!$M$61:$M$72,Dashboard!$J$61:$J$72,""),IF(_xlpm.x&lt;&gt;"",_xlpm.x,M21))</f>
        <v xml:space="preserve">كلمت مهندس محمد عشان اتابع معاه </v>
      </c>
      <c r="S21" s="341" cm="1">
        <f t="array" ref="S21">_xlfn.LET(_xlpm.x,_xlfn.XLOOKUP(A21,Dashboard!$M$61:$M$72,Dashboard!$K$61:$K$72,""),_xlpm.orig,N21,IF(_xlpm.x&lt;&gt;"",_xlpm.x,IF(OR(_xlpm.orig="",_xlpm.orig=0),"",_xlpm.orig)))</f>
        <v>46267</v>
      </c>
    </row>
    <row r="22" spans="1:19" ht="12.75" hidden="1">
      <c r="A22" s="5" t="s">
        <v>270</v>
      </c>
      <c r="B22" s="277" t="s">
        <v>271</v>
      </c>
      <c r="C22" s="38"/>
      <c r="D22" s="32">
        <f>_xlfn.XLOOKUP(Projects_Follow_UP[[#This Row],[Client Name]],'Hot Leads'!A:A,'Hot Leads'!B:B,0,0)</f>
        <v>0</v>
      </c>
      <c r="E22" s="32">
        <f>_xlfn.XLOOKUP(Projects_Follow_UP[[#This Row],[Client Phone Number]],'Hot Leads'!B:B,'Hot Leads'!C:C,0,0)</f>
        <v>0</v>
      </c>
      <c r="F22" s="32">
        <f>_xlfn.XLOOKUP(Projects_Follow_UP[[#This Row],[Client Name]],'Hot Leads'!A:A,'Hot Leads'!F:F, ,0)</f>
        <v>0</v>
      </c>
      <c r="G22" s="2"/>
      <c r="H22" s="2"/>
      <c r="I22" s="2"/>
      <c r="J22" s="34"/>
      <c r="K22" s="4"/>
      <c r="L22" s="6"/>
      <c r="M22" s="4"/>
      <c r="N22" s="6"/>
      <c r="O22" s="44">
        <f>IFERROR(VALUE(SUBSTITUTE(TRIM(SUBSTITUTE(Projects_Follow_UP[[#This Row],[Est. value]],"SAR","")),",","")),0)</f>
        <v>0</v>
      </c>
      <c r="P22" s="18"/>
      <c r="Q22" s="56"/>
      <c r="R22" s="56" cm="1">
        <f t="array" ref="R22">_xlfn.LET(_xlpm.x,_xlfn.XLOOKUP(A22,Dashboard!$M$61:$M$72,Dashboard!$J$61:$J$72,""),IF(_xlpm.x&lt;&gt;"",_xlpm.x,M22))</f>
        <v>0</v>
      </c>
      <c r="S22" s="341" t="str" cm="1">
        <f t="array" ref="S22">_xlfn.LET(_xlpm.x,_xlfn.XLOOKUP(A22,Dashboard!$M$61:$M$72,Dashboard!$K$61:$K$72,""),_xlpm.orig,N22,IF(_xlpm.x&lt;&gt;"",_xlpm.x,IF(OR(_xlpm.orig="",_xlpm.orig=0),"",_xlpm.orig)))</f>
        <v/>
      </c>
    </row>
    <row r="23" spans="1:19" ht="38.25">
      <c r="A23" s="5" t="s">
        <v>272</v>
      </c>
      <c r="B23" s="4" t="s">
        <v>273</v>
      </c>
      <c r="C23" s="38" t="s">
        <v>274</v>
      </c>
      <c r="D23" s="32">
        <f>_xlfn.XLOOKUP(Projects_Follow_UP[[#This Row],[Client Name]],'Hot Leads'!A:A,'Hot Leads'!B:B,0,0)</f>
        <v>966547160894</v>
      </c>
      <c r="E23" s="32" t="str">
        <f>_xlfn.XLOOKUP(Projects_Follow_UP[[#This Row],[Client Phone Number]],'Hot Leads'!B:B,'Hot Leads'!C:C,0,0)</f>
        <v>Vision Contracting</v>
      </c>
      <c r="F23" s="32" t="str">
        <f>_xlfn.XLOOKUP(Projects_Follow_UP[[#This Row],[Client Name]],'Hot Leads'!A:A,'Hot Leads'!F:F, ,0)</f>
        <v>m.hassan@vision-cc.com</v>
      </c>
      <c r="G23" s="2" t="s">
        <v>33</v>
      </c>
      <c r="H23" s="2" t="s">
        <v>40</v>
      </c>
      <c r="I23" s="2" t="s">
        <v>32</v>
      </c>
      <c r="J23" s="34">
        <v>16000000</v>
      </c>
      <c r="K23" s="4" t="s">
        <v>275</v>
      </c>
      <c r="L23" s="6"/>
      <c r="M23" s="4"/>
      <c r="N23" s="6"/>
      <c r="O23" s="44">
        <f>IFERROR(VALUE(SUBSTITUTE(TRIM(SUBSTITUTE(Projects_Follow_UP[[#This Row],[Est. value]],"SAR","")),",","")),0)</f>
        <v>16000000</v>
      </c>
      <c r="P23" s="18"/>
      <c r="Q23" s="56"/>
      <c r="R23" s="56" cm="1">
        <f t="array" ref="R23">_xlfn.LET(_xlpm.x,_xlfn.XLOOKUP(A23,Dashboard!$M$61:$M$72,Dashboard!$J$61:$J$72,""),IF(_xlpm.x&lt;&gt;"",_xlpm.x,M23))</f>
        <v>0</v>
      </c>
      <c r="S23" s="341" t="str" cm="1">
        <f t="array" ref="S23">_xlfn.LET(_xlpm.x,_xlfn.XLOOKUP(A23,Dashboard!$M$61:$M$72,Dashboard!$K$61:$K$72,""),_xlpm.orig,N23,IF(_xlpm.x&lt;&gt;"",_xlpm.x,IF(OR(_xlpm.orig="",_xlpm.orig=0),"",_xlpm.orig)))</f>
        <v/>
      </c>
    </row>
    <row r="24" spans="1:19" ht="25.5">
      <c r="A24" s="5" t="s">
        <v>276</v>
      </c>
      <c r="B24" s="4" t="s">
        <v>277</v>
      </c>
      <c r="C24" s="38"/>
      <c r="D24" s="32">
        <f>_xlfn.XLOOKUP(Projects_Follow_UP[[#This Row],[Client Name]],'Hot Leads'!A:A,'Hot Leads'!B:B,0,0)</f>
        <v>0</v>
      </c>
      <c r="E24" s="32">
        <f>_xlfn.XLOOKUP(Projects_Follow_UP[[#This Row],[Client Phone Number]],'Hot Leads'!B:B,'Hot Leads'!C:C,0,0)</f>
        <v>0</v>
      </c>
      <c r="F24" s="32">
        <f>_xlfn.XLOOKUP(Projects_Follow_UP[[#This Row],[Client Name]],'Hot Leads'!A:A,'Hot Leads'!F:F, ,0)</f>
        <v>0</v>
      </c>
      <c r="G24" s="2" t="s">
        <v>30</v>
      </c>
      <c r="H24" s="2" t="s">
        <v>34</v>
      </c>
      <c r="I24" s="2" t="s">
        <v>32</v>
      </c>
      <c r="J24" s="34">
        <v>950000</v>
      </c>
      <c r="K24" s="345" t="s">
        <v>278</v>
      </c>
      <c r="L24" s="6">
        <v>46260</v>
      </c>
      <c r="M24" s="4"/>
      <c r="N24" s="6"/>
      <c r="O24" s="44">
        <f>IFERROR(VALUE(SUBSTITUTE(TRIM(SUBSTITUTE(Projects_Follow_UP[[#This Row],[Est. value]],"SAR","")),",","")),0)</f>
        <v>950000</v>
      </c>
      <c r="P24" s="18"/>
      <c r="Q24" s="56"/>
      <c r="R24" s="56" cm="1">
        <f t="array" ref="R24">_xlfn.LET(_xlpm.x,_xlfn.XLOOKUP(A24,Dashboard!$M$61:$M$72,Dashboard!$J$61:$J$72,""),IF(_xlpm.x&lt;&gt;"",_xlpm.x,M24))</f>
        <v>0</v>
      </c>
      <c r="S24" s="341" t="str" cm="1">
        <f t="array" ref="S24">_xlfn.LET(_xlpm.x,_xlfn.XLOOKUP(A24,Dashboard!$M$61:$M$72,Dashboard!$K$61:$K$72,""),_xlpm.orig,N24,IF(_xlpm.x&lt;&gt;"",_xlpm.x,IF(OR(_xlpm.orig="",_xlpm.orig=0),"",_xlpm.orig)))</f>
        <v/>
      </c>
    </row>
    <row r="25" spans="1:19" ht="32.25" customHeight="1">
      <c r="A25" s="5" t="s">
        <v>279</v>
      </c>
      <c r="B25" s="4" t="s">
        <v>280</v>
      </c>
      <c r="C25" s="38" t="s">
        <v>281</v>
      </c>
      <c r="D25" s="32">
        <f>_xlfn.XLOOKUP(Projects_Follow_UP[[#This Row],[Client Name]],'Hot Leads'!A:A,'Hot Leads'!B:B,0,0)</f>
        <v>966595291415</v>
      </c>
      <c r="E25" s="32" t="str">
        <f>_xlfn.XLOOKUP(Projects_Follow_UP[[#This Row],[Client Phone Number]],'Hot Leads'!B:B,'Hot Leads'!C:C,0,0)</f>
        <v>Albadayeel البدائل</v>
      </c>
      <c r="F25" s="32">
        <f>_xlfn.XLOOKUP(Projects_Follow_UP[[#This Row],[Client Name]],'Hot Leads'!A:A,'Hot Leads'!F:F, ,0)</f>
        <v>0</v>
      </c>
      <c r="G25" s="2"/>
      <c r="H25" s="2"/>
      <c r="I25" s="2"/>
      <c r="J25" s="34"/>
      <c r="K25" s="4" t="s">
        <v>282</v>
      </c>
      <c r="L25" s="6"/>
      <c r="M25" s="4"/>
      <c r="N25" s="6"/>
      <c r="O25" s="44">
        <f>IFERROR(VALUE(SUBSTITUTE(TRIM(SUBSTITUTE(Projects_Follow_UP[[#This Row],[Est. value]],"SAR","")),",","")),0)</f>
        <v>0</v>
      </c>
      <c r="P25" s="18"/>
      <c r="Q25" s="56"/>
      <c r="R25" s="56" cm="1">
        <f t="array" ref="R25">_xlfn.LET(_xlpm.x,_xlfn.XLOOKUP(A25,Dashboard!$M$61:$M$72,Dashboard!$J$61:$J$72,""),IF(_xlpm.x&lt;&gt;"",_xlpm.x,M25))</f>
        <v>0</v>
      </c>
      <c r="S25" s="341" t="str" cm="1">
        <f t="array" ref="S25">_xlfn.LET(_xlpm.x,_xlfn.XLOOKUP(A25,Dashboard!$M$61:$M$72,Dashboard!$K$61:$K$72,""),_xlpm.orig,N25,IF(_xlpm.x&lt;&gt;"",_xlpm.x,IF(OR(_xlpm.orig="",_xlpm.orig=0),"",_xlpm.orig)))</f>
        <v/>
      </c>
    </row>
    <row r="26" spans="1:19" ht="38.25">
      <c r="A26" s="5" t="s">
        <v>283</v>
      </c>
      <c r="B26" s="4" t="s">
        <v>284</v>
      </c>
      <c r="C26" s="38" t="s">
        <v>285</v>
      </c>
      <c r="D26" s="32">
        <f>_xlfn.XLOOKUP(Projects_Follow_UP[[#This Row],[Client Name]],'Hot Leads'!A:A,'Hot Leads'!B:B,0,0)</f>
        <v>966503355231</v>
      </c>
      <c r="E26" s="32" t="str">
        <f>_xlfn.XLOOKUP(Projects_Follow_UP[[#This Row],[Client Phone Number]],'Hot Leads'!B:B,'Hot Leads'!C:C,0,0)</f>
        <v>Al-Waref Contracting Comapny</v>
      </c>
      <c r="F26" s="32">
        <f>_xlfn.XLOOKUP(Projects_Follow_UP[[#This Row],[Client Name]],'Hot Leads'!A:A,'Hot Leads'!F:F, ,0)</f>
        <v>0</v>
      </c>
      <c r="G26" s="2" t="s">
        <v>30</v>
      </c>
      <c r="H26" s="2" t="s">
        <v>34</v>
      </c>
      <c r="I26" s="2" t="s">
        <v>32</v>
      </c>
      <c r="J26" s="34"/>
      <c r="K26" s="4" t="s">
        <v>286</v>
      </c>
      <c r="L26" s="6"/>
      <c r="M26" s="4"/>
      <c r="N26" s="6"/>
      <c r="O26" s="44">
        <f>IFERROR(VALUE(SUBSTITUTE(TRIM(SUBSTITUTE(Projects_Follow_UP[[#This Row],[Est. value]],"SAR","")),",","")),0)</f>
        <v>0</v>
      </c>
      <c r="P26" s="18"/>
      <c r="Q26" s="56"/>
      <c r="R26" s="56" cm="1">
        <f t="array" ref="R26">_xlfn.LET(_xlpm.x,_xlfn.XLOOKUP(A26,Dashboard!$M$61:$M$72,Dashboard!$J$61:$J$72,""),IF(_xlpm.x&lt;&gt;"",_xlpm.x,M26))</f>
        <v>0</v>
      </c>
      <c r="S26" s="341" t="str" cm="1">
        <f t="array" ref="S26">_xlfn.LET(_xlpm.x,_xlfn.XLOOKUP(A26,Dashboard!$M$61:$M$72,Dashboard!$K$61:$K$72,""),_xlpm.orig,N26,IF(_xlpm.x&lt;&gt;"",_xlpm.x,IF(OR(_xlpm.orig="",_xlpm.orig=0),"",_xlpm.orig)))</f>
        <v/>
      </c>
    </row>
    <row r="27" spans="1:19" ht="12.75">
      <c r="A27" s="5" t="s">
        <v>287</v>
      </c>
      <c r="B27" s="4" t="s">
        <v>288</v>
      </c>
      <c r="C27" s="38"/>
      <c r="D27" s="32">
        <f>_xlfn.XLOOKUP(Projects_Follow_UP[[#This Row],[Client Name]],'Hot Leads'!A:A,'Hot Leads'!B:B,0,0)</f>
        <v>0</v>
      </c>
      <c r="E27" s="32">
        <f>_xlfn.XLOOKUP(Projects_Follow_UP[[#This Row],[Client Phone Number]],'Hot Leads'!B:B,'Hot Leads'!C:C,0,0)</f>
        <v>0</v>
      </c>
      <c r="F27" s="32">
        <f>_xlfn.XLOOKUP(Projects_Follow_UP[[#This Row],[Client Name]],'Hot Leads'!A:A,'Hot Leads'!F:F, ,0)</f>
        <v>0</v>
      </c>
      <c r="G27" s="2"/>
      <c r="H27" s="2"/>
      <c r="I27" s="2"/>
      <c r="J27" s="34"/>
      <c r="K27" s="4"/>
      <c r="L27" s="6"/>
      <c r="M27" s="4"/>
      <c r="N27" s="6"/>
      <c r="O27" s="44">
        <f>IFERROR(VALUE(SUBSTITUTE(TRIM(SUBSTITUTE(Projects_Follow_UP[[#This Row],[Est. value]],"SAR","")),",","")),0)</f>
        <v>0</v>
      </c>
      <c r="P27" s="18"/>
      <c r="Q27" s="56"/>
      <c r="R27" s="56" cm="1">
        <f t="array" ref="R27">_xlfn.LET(_xlpm.x,_xlfn.XLOOKUP(A27,Dashboard!$M$61:$M$72,Dashboard!$J$61:$J$72,""),IF(_xlpm.x&lt;&gt;"",_xlpm.x,M27))</f>
        <v>0</v>
      </c>
      <c r="S27" s="341" t="str" cm="1">
        <f t="array" ref="S27">_xlfn.LET(_xlpm.x,_xlfn.XLOOKUP(A27,Dashboard!$M$61:$M$72,Dashboard!$K$61:$K$72,""),_xlpm.orig,N27,IF(_xlpm.x&lt;&gt;"",_xlpm.x,IF(OR(_xlpm.orig="",_xlpm.orig=0),"",_xlpm.orig)))</f>
        <v/>
      </c>
    </row>
    <row r="28" spans="1:19" ht="12.75">
      <c r="A28" s="5" t="s">
        <v>289</v>
      </c>
      <c r="B28" s="4" t="s">
        <v>290</v>
      </c>
      <c r="C28" s="38"/>
      <c r="D28" s="32">
        <f>_xlfn.XLOOKUP(Projects_Follow_UP[[#This Row],[Client Name]],'Hot Leads'!A:A,'Hot Leads'!B:B,0,0)</f>
        <v>0</v>
      </c>
      <c r="E28" s="32">
        <f>_xlfn.XLOOKUP(Projects_Follow_UP[[#This Row],[Client Phone Number]],'Hot Leads'!B:B,'Hot Leads'!C:C,0,0)</f>
        <v>0</v>
      </c>
      <c r="F28" s="32">
        <f>_xlfn.XLOOKUP(Projects_Follow_UP[[#This Row],[Client Name]],'Hot Leads'!A:A,'Hot Leads'!F:F, ,0)</f>
        <v>0</v>
      </c>
      <c r="G28" s="2"/>
      <c r="H28" s="2"/>
      <c r="I28" s="2"/>
      <c r="J28" s="34"/>
      <c r="K28" s="4"/>
      <c r="L28" s="6"/>
      <c r="M28" s="4"/>
      <c r="N28" s="6"/>
      <c r="O28" s="44">
        <f>IFERROR(VALUE(SUBSTITUTE(TRIM(SUBSTITUTE(Projects_Follow_UP[[#This Row],[Est. value]],"SAR","")),",","")),0)</f>
        <v>0</v>
      </c>
      <c r="P28" s="18"/>
      <c r="Q28" s="56"/>
      <c r="R28" s="56" cm="1">
        <f t="array" ref="R28">_xlfn.LET(_xlpm.x,_xlfn.XLOOKUP(A28,Dashboard!$M$61:$M$72,Dashboard!$J$61:$J$72,""),IF(_xlpm.x&lt;&gt;"",_xlpm.x,M28))</f>
        <v>0</v>
      </c>
      <c r="S28" s="341" t="str" cm="1">
        <f t="array" ref="S28">_xlfn.LET(_xlpm.x,_xlfn.XLOOKUP(A28,Dashboard!$M$61:$M$72,Dashboard!$K$61:$K$72,""),_xlpm.orig,N28,IF(_xlpm.x&lt;&gt;"",_xlpm.x,IF(OR(_xlpm.orig="",_xlpm.orig=0),"",_xlpm.orig)))</f>
        <v/>
      </c>
    </row>
    <row r="29" spans="1:19" ht="51">
      <c r="A29" s="5" t="s">
        <v>291</v>
      </c>
      <c r="B29" s="4" t="s">
        <v>292</v>
      </c>
      <c r="C29" s="38" t="s">
        <v>293</v>
      </c>
      <c r="D29" s="32">
        <f>_xlfn.XLOOKUP(Projects_Follow_UP[[#This Row],[Client Name]],'Hot Leads'!A:A,'Hot Leads'!B:B,0,0)</f>
        <v>966572572847</v>
      </c>
      <c r="E29" s="32" t="str">
        <f>_xlfn.XLOOKUP(Projects_Follow_UP[[#This Row],[Client Phone Number]],'Hot Leads'!B:B,'Hot Leads'!C:C,0,0)</f>
        <v>BAK United Arabia</v>
      </c>
      <c r="F29" s="32" t="str">
        <f>_xlfn.XLOOKUP(Projects_Follow_UP[[#This Row],[Client Name]],'Hot Leads'!A:A,'Hot Leads'!F:F, ,0)</f>
        <v xml:space="preserve">salmanshah@bakunited.sa
</v>
      </c>
      <c r="G29" s="2" t="s">
        <v>30</v>
      </c>
      <c r="H29" s="2" t="s">
        <v>31</v>
      </c>
      <c r="I29" s="2" t="s">
        <v>35</v>
      </c>
      <c r="J29" s="34">
        <v>220000</v>
      </c>
      <c r="K29" s="4" t="s">
        <v>294</v>
      </c>
      <c r="L29" s="6"/>
      <c r="M29" s="4"/>
      <c r="N29" s="6"/>
      <c r="O29" s="44">
        <f>IFERROR(VALUE(SUBSTITUTE(TRIM(SUBSTITUTE(Projects_Follow_UP[[#This Row],[Est. value]],"SAR","")),",","")),0)</f>
        <v>220000</v>
      </c>
      <c r="P29" s="18"/>
      <c r="Q29" s="56"/>
      <c r="R29" s="56" cm="1">
        <f t="array" ref="R29">_xlfn.LET(_xlpm.x,_xlfn.XLOOKUP(A29,Dashboard!$M$61:$M$72,Dashboard!$J$61:$J$72,""),IF(_xlpm.x&lt;&gt;"",_xlpm.x,M29))</f>
        <v>0</v>
      </c>
      <c r="S29" s="341" t="str" cm="1">
        <f t="array" ref="S29">_xlfn.LET(_xlpm.x,_xlfn.XLOOKUP(A29,Dashboard!$M$61:$M$72,Dashboard!$K$61:$K$72,""),_xlpm.orig,N29,IF(_xlpm.x&lt;&gt;"",_xlpm.x,IF(OR(_xlpm.orig="",_xlpm.orig=0),"",_xlpm.orig)))</f>
        <v/>
      </c>
    </row>
    <row r="30" spans="1:19" ht="25.5">
      <c r="A30" s="5" t="s">
        <v>295</v>
      </c>
      <c r="B30" s="4" t="s">
        <v>296</v>
      </c>
      <c r="C30" s="38"/>
      <c r="D30" s="32">
        <f>_xlfn.XLOOKUP(Projects_Follow_UP[[#This Row],[Client Name]],'Hot Leads'!A:A,'Hot Leads'!B:B,0,0)</f>
        <v>0</v>
      </c>
      <c r="E30" s="32">
        <f>_xlfn.XLOOKUP(Projects_Follow_UP[[#This Row],[Client Phone Number]],'Hot Leads'!B:B,'Hot Leads'!C:C,0,0)</f>
        <v>0</v>
      </c>
      <c r="F30" s="32">
        <f>_xlfn.XLOOKUP(Projects_Follow_UP[[#This Row],[Client Name]],'Hot Leads'!A:A,'Hot Leads'!F:F, ,0)</f>
        <v>0</v>
      </c>
      <c r="G30" s="2" t="s">
        <v>30</v>
      </c>
      <c r="H30" s="2" t="s">
        <v>31</v>
      </c>
      <c r="I30" s="2"/>
      <c r="J30" s="34"/>
      <c r="K30" s="4"/>
      <c r="L30" s="6"/>
      <c r="M30" s="4"/>
      <c r="N30" s="6"/>
      <c r="O30" s="44">
        <f>IFERROR(VALUE(SUBSTITUTE(TRIM(SUBSTITUTE(Projects_Follow_UP[[#This Row],[Est. value]],"SAR","")),",","")),0)</f>
        <v>0</v>
      </c>
      <c r="P30" s="18"/>
      <c r="Q30" s="56"/>
      <c r="R30" s="56" cm="1">
        <f t="array" ref="R30">_xlfn.LET(_xlpm.x,_xlfn.XLOOKUP(A30,Dashboard!$M$61:$M$72,Dashboard!$J$61:$J$72,""),IF(_xlpm.x&lt;&gt;"",_xlpm.x,M30))</f>
        <v>0</v>
      </c>
      <c r="S30" s="341" t="str" cm="1">
        <f t="array" ref="S30">_xlfn.LET(_xlpm.x,_xlfn.XLOOKUP(A30,Dashboard!$M$61:$M$72,Dashboard!$K$61:$K$72,""),_xlpm.orig,N30,IF(_xlpm.x&lt;&gt;"",_xlpm.x,IF(OR(_xlpm.orig="",_xlpm.orig=0),"",_xlpm.orig)))</f>
        <v/>
      </c>
    </row>
    <row r="31" spans="1:19" ht="12.75">
      <c r="A31" s="5" t="s">
        <v>297</v>
      </c>
      <c r="B31" s="4"/>
      <c r="C31" s="38"/>
      <c r="D31" s="32">
        <f>_xlfn.XLOOKUP(Projects_Follow_UP[[#This Row],[Client Name]],'Hot Leads'!A:A,'Hot Leads'!B:B,0,0)</f>
        <v>0</v>
      </c>
      <c r="E31" s="32">
        <f>_xlfn.XLOOKUP(Projects_Follow_UP[[#This Row],[Client Phone Number]],'Hot Leads'!B:B,'Hot Leads'!C:C,0,0)</f>
        <v>0</v>
      </c>
      <c r="F31" s="32">
        <f>_xlfn.XLOOKUP(Projects_Follow_UP[[#This Row],[Client Name]],'Hot Leads'!A:A,'Hot Leads'!F:F, ,0)</f>
        <v>0</v>
      </c>
      <c r="G31" s="2"/>
      <c r="H31" s="2"/>
      <c r="I31" s="2"/>
      <c r="J31" s="34"/>
      <c r="K31" s="4"/>
      <c r="L31" s="6"/>
      <c r="M31" s="4"/>
      <c r="N31" s="6"/>
      <c r="O31" s="44">
        <f>IFERROR(VALUE(SUBSTITUTE(TRIM(SUBSTITUTE(Projects_Follow_UP[[#This Row],[Est. value]],"SAR","")),",","")),0)</f>
        <v>0</v>
      </c>
      <c r="P31" s="18"/>
      <c r="Q31" s="56"/>
      <c r="R31" s="56" cm="1">
        <f t="array" ref="R31">_xlfn.LET(_xlpm.x,_xlfn.XLOOKUP(A31,Dashboard!$M$61:$M$72,Dashboard!$J$61:$J$72,""),IF(_xlpm.x&lt;&gt;"",_xlpm.x,M31))</f>
        <v>0</v>
      </c>
      <c r="S31" s="341" t="str" cm="1">
        <f t="array" ref="S31">_xlfn.LET(_xlpm.x,_xlfn.XLOOKUP(A31,Dashboard!$M$61:$M$72,Dashboard!$K$61:$K$72,""),_xlpm.orig,N31,IF(_xlpm.x&lt;&gt;"",_xlpm.x,IF(OR(_xlpm.orig="",_xlpm.orig=0),"",_xlpm.orig)))</f>
        <v/>
      </c>
    </row>
    <row r="32" spans="1:19" ht="12.75">
      <c r="A32" s="5" t="s">
        <v>298</v>
      </c>
      <c r="B32" s="4"/>
      <c r="C32" s="38"/>
      <c r="D32" s="32">
        <f>_xlfn.XLOOKUP(Projects_Follow_UP[[#This Row],[Client Name]],'Hot Leads'!A:A,'Hot Leads'!B:B,0,0)</f>
        <v>0</v>
      </c>
      <c r="E32" s="32">
        <f>_xlfn.XLOOKUP(Projects_Follow_UP[[#This Row],[Client Phone Number]],'Hot Leads'!B:B,'Hot Leads'!C:C,0,0)</f>
        <v>0</v>
      </c>
      <c r="F32" s="32">
        <f>_xlfn.XLOOKUP(Projects_Follow_UP[[#This Row],[Client Name]],'Hot Leads'!A:A,'Hot Leads'!F:F, ,0)</f>
        <v>0</v>
      </c>
      <c r="G32" s="2"/>
      <c r="H32" s="2"/>
      <c r="I32" s="2"/>
      <c r="J32" s="34"/>
      <c r="K32" s="4"/>
      <c r="L32" s="6"/>
      <c r="M32" s="4"/>
      <c r="N32" s="6"/>
      <c r="O32" s="44">
        <f>IFERROR(VALUE(SUBSTITUTE(TRIM(SUBSTITUTE(Projects_Follow_UP[[#This Row],[Est. value]],"SAR","")),",","")),0)</f>
        <v>0</v>
      </c>
      <c r="P32" s="18"/>
      <c r="Q32" s="56"/>
      <c r="R32" s="56" cm="1">
        <f t="array" ref="R32">_xlfn.LET(_xlpm.x,_xlfn.XLOOKUP(A32,Dashboard!$M$61:$M$72,Dashboard!$J$61:$J$72,""),IF(_xlpm.x&lt;&gt;"",_xlpm.x,M32))</f>
        <v>0</v>
      </c>
      <c r="S32" s="341" t="str" cm="1">
        <f t="array" ref="S32">_xlfn.LET(_xlpm.x,_xlfn.XLOOKUP(A32,Dashboard!$M$61:$M$72,Dashboard!$K$61:$K$72,""),_xlpm.orig,N32,IF(_xlpm.x&lt;&gt;"",_xlpm.x,IF(OR(_xlpm.orig="",_xlpm.orig=0),"",_xlpm.orig)))</f>
        <v/>
      </c>
    </row>
    <row r="33" spans="1:19" ht="12.75">
      <c r="A33" s="5" t="s">
        <v>299</v>
      </c>
      <c r="B33" s="4"/>
      <c r="C33" s="38"/>
      <c r="D33" s="32">
        <f>_xlfn.XLOOKUP(Projects_Follow_UP[[#This Row],[Client Name]],'Hot Leads'!A:A,'Hot Leads'!B:B,0,0)</f>
        <v>0</v>
      </c>
      <c r="E33" s="32">
        <f>_xlfn.XLOOKUP(Projects_Follow_UP[[#This Row],[Client Phone Number]],'Hot Leads'!B:B,'Hot Leads'!C:C,0,0)</f>
        <v>0</v>
      </c>
      <c r="F33" s="32">
        <f>_xlfn.XLOOKUP(Projects_Follow_UP[[#This Row],[Client Name]],'Hot Leads'!A:A,'Hot Leads'!F:F, ,0)</f>
        <v>0</v>
      </c>
      <c r="G33" s="2"/>
      <c r="H33" s="2"/>
      <c r="I33" s="2"/>
      <c r="J33" s="34"/>
      <c r="K33" s="4"/>
      <c r="L33" s="6"/>
      <c r="M33" s="4"/>
      <c r="N33" s="6"/>
      <c r="O33" s="44">
        <f>IFERROR(VALUE(SUBSTITUTE(TRIM(SUBSTITUTE(Projects_Follow_UP[[#This Row],[Est. value]],"SAR","")),",","")),0)</f>
        <v>0</v>
      </c>
      <c r="P33" s="18"/>
      <c r="Q33" s="56"/>
      <c r="R33" s="56" cm="1">
        <f t="array" ref="R33">_xlfn.LET(_xlpm.x,_xlfn.XLOOKUP(A33,Dashboard!$M$61:$M$72,Dashboard!$J$61:$J$72,""),IF(_xlpm.x&lt;&gt;"",_xlpm.x,M33))</f>
        <v>0</v>
      </c>
      <c r="S33" s="341" t="str" cm="1">
        <f t="array" ref="S33">_xlfn.LET(_xlpm.x,_xlfn.XLOOKUP(A33,Dashboard!$M$61:$M$72,Dashboard!$K$61:$K$72,""),_xlpm.orig,N33,IF(_xlpm.x&lt;&gt;"",_xlpm.x,IF(OR(_xlpm.orig="",_xlpm.orig=0),"",_xlpm.orig)))</f>
        <v/>
      </c>
    </row>
    <row r="34" spans="1:19" ht="12.75">
      <c r="A34" s="5" t="s">
        <v>300</v>
      </c>
      <c r="B34" s="4"/>
      <c r="C34" s="38"/>
      <c r="D34" s="32">
        <f>_xlfn.XLOOKUP(Projects_Follow_UP[[#This Row],[Client Name]],'Hot Leads'!A:A,'Hot Leads'!B:B,0,0)</f>
        <v>0</v>
      </c>
      <c r="E34" s="32">
        <f>_xlfn.XLOOKUP(Projects_Follow_UP[[#This Row],[Client Phone Number]],'Hot Leads'!B:B,'Hot Leads'!C:C,0,0)</f>
        <v>0</v>
      </c>
      <c r="F34" s="32">
        <f>_xlfn.XLOOKUP(Projects_Follow_UP[[#This Row],[Client Name]],'Hot Leads'!A:A,'Hot Leads'!F:F, ,0)</f>
        <v>0</v>
      </c>
      <c r="G34" s="2"/>
      <c r="H34" s="2"/>
      <c r="I34" s="2"/>
      <c r="J34" s="34"/>
      <c r="K34" s="4"/>
      <c r="L34" s="6"/>
      <c r="M34" s="4"/>
      <c r="N34" s="6"/>
      <c r="O34" s="44">
        <f>IFERROR(VALUE(SUBSTITUTE(TRIM(SUBSTITUTE(Projects_Follow_UP[[#This Row],[Est. value]],"SAR","")),",","")),0)</f>
        <v>0</v>
      </c>
      <c r="P34" s="18"/>
      <c r="Q34" s="56"/>
      <c r="R34" s="56" cm="1">
        <f t="array" ref="R34">_xlfn.LET(_xlpm.x,_xlfn.XLOOKUP(A34,Dashboard!$M$61:$M$72,Dashboard!$J$61:$J$72,""),IF(_xlpm.x&lt;&gt;"",_xlpm.x,M34))</f>
        <v>0</v>
      </c>
      <c r="S34" s="341" t="str" cm="1">
        <f t="array" ref="S34">_xlfn.LET(_xlpm.x,_xlfn.XLOOKUP(A34,Dashboard!$M$61:$M$72,Dashboard!$K$61:$K$72,""),_xlpm.orig,N34,IF(_xlpm.x&lt;&gt;"",_xlpm.x,IF(OR(_xlpm.orig="",_xlpm.orig=0),"",_xlpm.orig)))</f>
        <v/>
      </c>
    </row>
    <row r="35" spans="1:19" ht="12.75">
      <c r="A35" s="5" t="s">
        <v>301</v>
      </c>
      <c r="B35" s="4"/>
      <c r="C35" s="38"/>
      <c r="D35" s="32">
        <f>_xlfn.XLOOKUP(Projects_Follow_UP[[#This Row],[Client Name]],'Hot Leads'!A:A,'Hot Leads'!B:B,0,0)</f>
        <v>0</v>
      </c>
      <c r="E35" s="32">
        <f>_xlfn.XLOOKUP(Projects_Follow_UP[[#This Row],[Client Phone Number]],'Hot Leads'!B:B,'Hot Leads'!C:C,0,0)</f>
        <v>0</v>
      </c>
      <c r="F35" s="32">
        <f>_xlfn.XLOOKUP(Projects_Follow_UP[[#This Row],[Client Name]],'Hot Leads'!A:A,'Hot Leads'!F:F, ,0)</f>
        <v>0</v>
      </c>
      <c r="G35" s="2"/>
      <c r="H35" s="2"/>
      <c r="I35" s="2"/>
      <c r="J35" s="34"/>
      <c r="K35" s="4"/>
      <c r="L35" s="6"/>
      <c r="M35" s="4"/>
      <c r="N35" s="6"/>
      <c r="O35" s="44">
        <f>IFERROR(VALUE(SUBSTITUTE(TRIM(SUBSTITUTE(Projects_Follow_UP[[#This Row],[Est. value]],"SAR","")),",","")),0)</f>
        <v>0</v>
      </c>
      <c r="P35" s="18"/>
      <c r="Q35" s="56"/>
      <c r="R35" s="56" cm="1">
        <f t="array" ref="R35">_xlfn.LET(_xlpm.x,_xlfn.XLOOKUP(A35,Dashboard!$M$61:$M$72,Dashboard!$J$61:$J$72,""),IF(_xlpm.x&lt;&gt;"",_xlpm.x,M35))</f>
        <v>0</v>
      </c>
      <c r="S35" s="341" t="str" cm="1">
        <f t="array" ref="S35">_xlfn.LET(_xlpm.x,_xlfn.XLOOKUP(A35,Dashboard!$M$61:$M$72,Dashboard!$K$61:$K$72,""),_xlpm.orig,N35,IF(_xlpm.x&lt;&gt;"",_xlpm.x,IF(OR(_xlpm.orig="",_xlpm.orig=0),"",_xlpm.orig)))</f>
        <v/>
      </c>
    </row>
    <row r="36" spans="1:19" ht="12.75">
      <c r="A36" s="5" t="s">
        <v>302</v>
      </c>
      <c r="B36" s="4"/>
      <c r="C36" s="38"/>
      <c r="D36" s="32">
        <f>_xlfn.XLOOKUP(Projects_Follow_UP[[#This Row],[Client Name]],'Hot Leads'!A:A,'Hot Leads'!B:B,0,0)</f>
        <v>0</v>
      </c>
      <c r="E36" s="32">
        <f>_xlfn.XLOOKUP(Projects_Follow_UP[[#This Row],[Client Phone Number]],'Hot Leads'!B:B,'Hot Leads'!C:C,0,0)</f>
        <v>0</v>
      </c>
      <c r="F36" s="32">
        <f>_xlfn.XLOOKUP(Projects_Follow_UP[[#This Row],[Client Name]],'Hot Leads'!A:A,'Hot Leads'!F:F, ,0)</f>
        <v>0</v>
      </c>
      <c r="G36" s="2"/>
      <c r="H36" s="2"/>
      <c r="I36" s="2"/>
      <c r="J36" s="34"/>
      <c r="K36" s="4"/>
      <c r="L36" s="6"/>
      <c r="M36" s="4"/>
      <c r="N36" s="6"/>
      <c r="O36" s="44">
        <f>IFERROR(VALUE(SUBSTITUTE(TRIM(SUBSTITUTE(Projects_Follow_UP[[#This Row],[Est. value]],"SAR","")),",","")),0)</f>
        <v>0</v>
      </c>
      <c r="P36" s="18"/>
      <c r="Q36" s="56"/>
      <c r="R36" s="56" cm="1">
        <f t="array" ref="R36">_xlfn.LET(_xlpm.x,_xlfn.XLOOKUP(A36,Dashboard!$M$61:$M$72,Dashboard!$J$61:$J$72,""),IF(_xlpm.x&lt;&gt;"",_xlpm.x,M36))</f>
        <v>0</v>
      </c>
      <c r="S36" s="341" t="str" cm="1">
        <f t="array" ref="S36">_xlfn.LET(_xlpm.x,_xlfn.XLOOKUP(A36,Dashboard!$M$61:$M$72,Dashboard!$K$61:$K$72,""),_xlpm.orig,N36,IF(_xlpm.x&lt;&gt;"",_xlpm.x,IF(OR(_xlpm.orig="",_xlpm.orig=0),"",_xlpm.orig)))</f>
        <v/>
      </c>
    </row>
    <row r="37" spans="1:19" ht="12.75">
      <c r="A37" s="5" t="s">
        <v>303</v>
      </c>
      <c r="B37" s="4"/>
      <c r="C37" s="38"/>
      <c r="D37" s="32">
        <f>_xlfn.XLOOKUP(Projects_Follow_UP[[#This Row],[Client Name]],'Hot Leads'!A:A,'Hot Leads'!B:B,0,0)</f>
        <v>0</v>
      </c>
      <c r="E37" s="32">
        <f>_xlfn.XLOOKUP(Projects_Follow_UP[[#This Row],[Client Phone Number]],'Hot Leads'!B:B,'Hot Leads'!C:C,0,0)</f>
        <v>0</v>
      </c>
      <c r="F37" s="32">
        <f>_xlfn.XLOOKUP(Projects_Follow_UP[[#This Row],[Client Name]],'Hot Leads'!A:A,'Hot Leads'!F:F, ,0)</f>
        <v>0</v>
      </c>
      <c r="G37" s="2"/>
      <c r="H37" s="2"/>
      <c r="I37" s="2"/>
      <c r="J37" s="34"/>
      <c r="K37" s="4"/>
      <c r="L37" s="6"/>
      <c r="M37" s="4"/>
      <c r="N37" s="6"/>
      <c r="O37" s="44">
        <f>IFERROR(VALUE(SUBSTITUTE(TRIM(SUBSTITUTE(Projects_Follow_UP[[#This Row],[Est. value]],"SAR","")),",","")),0)</f>
        <v>0</v>
      </c>
      <c r="P37" s="18"/>
      <c r="Q37" s="56"/>
      <c r="R37" s="56" cm="1">
        <f t="array" ref="R37">_xlfn.LET(_xlpm.x,_xlfn.XLOOKUP(A37,Dashboard!$M$61:$M$72,Dashboard!$J$61:$J$72,""),IF(_xlpm.x&lt;&gt;"",_xlpm.x,M37))</f>
        <v>0</v>
      </c>
      <c r="S37" s="341" t="str" cm="1">
        <f t="array" ref="S37">_xlfn.LET(_xlpm.x,_xlfn.XLOOKUP(A37,Dashboard!$M$61:$M$72,Dashboard!$K$61:$K$72,""),_xlpm.orig,N37,IF(_xlpm.x&lt;&gt;"",_xlpm.x,IF(OR(_xlpm.orig="",_xlpm.orig=0),"",_xlpm.orig)))</f>
        <v/>
      </c>
    </row>
    <row r="38" spans="1:19" ht="12.75">
      <c r="A38" s="5" t="s">
        <v>304</v>
      </c>
      <c r="B38" s="4"/>
      <c r="C38" s="38"/>
      <c r="D38" s="32">
        <f>_xlfn.XLOOKUP(Projects_Follow_UP[[#This Row],[Client Name]],'Hot Leads'!A:A,'Hot Leads'!B:B,0,0)</f>
        <v>0</v>
      </c>
      <c r="E38" s="32">
        <f>_xlfn.XLOOKUP(Projects_Follow_UP[[#This Row],[Client Phone Number]],'Hot Leads'!B:B,'Hot Leads'!C:C,0,0)</f>
        <v>0</v>
      </c>
      <c r="F38" s="32">
        <f>_xlfn.XLOOKUP(Projects_Follow_UP[[#This Row],[Client Name]],'Hot Leads'!A:A,'Hot Leads'!F:F, ,0)</f>
        <v>0</v>
      </c>
      <c r="G38" s="2"/>
      <c r="H38" s="2"/>
      <c r="I38" s="2"/>
      <c r="J38" s="34"/>
      <c r="K38" s="4"/>
      <c r="L38" s="6"/>
      <c r="M38" s="4"/>
      <c r="N38" s="6"/>
      <c r="O38" s="44">
        <f>IFERROR(VALUE(SUBSTITUTE(TRIM(SUBSTITUTE(Projects_Follow_UP[[#This Row],[Est. value]],"SAR","")),",","")),0)</f>
        <v>0</v>
      </c>
      <c r="P38" s="18"/>
      <c r="Q38" s="56"/>
      <c r="R38" s="56" cm="1">
        <f t="array" ref="R38">_xlfn.LET(_xlpm.x,_xlfn.XLOOKUP(A38,Dashboard!$M$61:$M$72,Dashboard!$J$61:$J$72,""),IF(_xlpm.x&lt;&gt;"",_xlpm.x,M38))</f>
        <v>0</v>
      </c>
      <c r="S38" s="341" t="str" cm="1">
        <f t="array" ref="S38">_xlfn.LET(_xlpm.x,_xlfn.XLOOKUP(A38,Dashboard!$M$61:$M$72,Dashboard!$K$61:$K$72,""),_xlpm.orig,N38,IF(_xlpm.x&lt;&gt;"",_xlpm.x,IF(OR(_xlpm.orig="",_xlpm.orig=0),"",_xlpm.orig)))</f>
        <v/>
      </c>
    </row>
    <row r="39" spans="1:19" ht="12.75">
      <c r="A39" s="5" t="s">
        <v>305</v>
      </c>
      <c r="B39" s="4"/>
      <c r="C39" s="38"/>
      <c r="D39" s="32">
        <f>_xlfn.XLOOKUP(Projects_Follow_UP[[#This Row],[Client Name]],'Hot Leads'!A:A,'Hot Leads'!B:B,0,0)</f>
        <v>0</v>
      </c>
      <c r="E39" s="32">
        <f>_xlfn.XLOOKUP(Projects_Follow_UP[[#This Row],[Client Phone Number]],'Hot Leads'!B:B,'Hot Leads'!C:C,0,0)</f>
        <v>0</v>
      </c>
      <c r="F39" s="32">
        <f>_xlfn.XLOOKUP(Projects_Follow_UP[[#This Row],[Client Name]],'Hot Leads'!A:A,'Hot Leads'!F:F, ,0)</f>
        <v>0</v>
      </c>
      <c r="G39" s="2"/>
      <c r="H39" s="2"/>
      <c r="I39" s="2"/>
      <c r="J39" s="34"/>
      <c r="K39" s="4"/>
      <c r="L39" s="6"/>
      <c r="M39" s="4"/>
      <c r="N39" s="6"/>
      <c r="O39" s="44">
        <f>IFERROR(VALUE(SUBSTITUTE(TRIM(SUBSTITUTE(Projects_Follow_UP[[#This Row],[Est. value]],"SAR","")),",","")),0)</f>
        <v>0</v>
      </c>
      <c r="P39" s="18"/>
      <c r="Q39" s="56"/>
      <c r="R39" s="56" cm="1">
        <f t="array" ref="R39">_xlfn.LET(_xlpm.x,_xlfn.XLOOKUP(A39,Dashboard!$M$61:$M$72,Dashboard!$J$61:$J$72,""),IF(_xlpm.x&lt;&gt;"",_xlpm.x,M39))</f>
        <v>0</v>
      </c>
      <c r="S39" s="341" t="str" cm="1">
        <f t="array" ref="S39">_xlfn.LET(_xlpm.x,_xlfn.XLOOKUP(A39,Dashboard!$M$61:$M$72,Dashboard!$K$61:$K$72,""),_xlpm.orig,N39,IF(_xlpm.x&lt;&gt;"",_xlpm.x,IF(OR(_xlpm.orig="",_xlpm.orig=0),"",_xlpm.orig)))</f>
        <v/>
      </c>
    </row>
    <row r="40" spans="1:19" ht="12.75">
      <c r="A40" s="5" t="s">
        <v>306</v>
      </c>
      <c r="B40" s="4"/>
      <c r="C40" s="38"/>
      <c r="D40" s="32">
        <f>_xlfn.XLOOKUP(Projects_Follow_UP[[#This Row],[Client Name]],'Hot Leads'!A:A,'Hot Leads'!B:B,0,0)</f>
        <v>0</v>
      </c>
      <c r="E40" s="32">
        <f>_xlfn.XLOOKUP(Projects_Follow_UP[[#This Row],[Client Phone Number]],'Hot Leads'!B:B,'Hot Leads'!C:C,0,0)</f>
        <v>0</v>
      </c>
      <c r="F40" s="32">
        <f>_xlfn.XLOOKUP(Projects_Follow_UP[[#This Row],[Client Name]],'Hot Leads'!A:A,'Hot Leads'!F:F, ,0)</f>
        <v>0</v>
      </c>
      <c r="G40" s="2"/>
      <c r="H40" s="2"/>
      <c r="I40" s="2"/>
      <c r="J40" s="34"/>
      <c r="K40" s="4"/>
      <c r="L40" s="6"/>
      <c r="M40" s="4"/>
      <c r="N40" s="6"/>
      <c r="O40" s="44">
        <f>IFERROR(VALUE(SUBSTITUTE(TRIM(SUBSTITUTE(Projects_Follow_UP[[#This Row],[Est. value]],"SAR","")),",","")),0)</f>
        <v>0</v>
      </c>
      <c r="P40" s="18"/>
      <c r="Q40" s="56"/>
      <c r="R40" s="56" cm="1">
        <f t="array" ref="R40">_xlfn.LET(_xlpm.x,_xlfn.XLOOKUP(A40,Dashboard!$M$61:$M$72,Dashboard!$J$61:$J$72,""),IF(_xlpm.x&lt;&gt;"",_xlpm.x,M40))</f>
        <v>0</v>
      </c>
      <c r="S40" s="341" t="str" cm="1">
        <f t="array" ref="S40">_xlfn.LET(_xlpm.x,_xlfn.XLOOKUP(A40,Dashboard!$M$61:$M$72,Dashboard!$K$61:$K$72,""),_xlpm.orig,N40,IF(_xlpm.x&lt;&gt;"",_xlpm.x,IF(OR(_xlpm.orig="",_xlpm.orig=0),"",_xlpm.orig)))</f>
        <v/>
      </c>
    </row>
    <row r="41" spans="1:19" ht="12.75">
      <c r="A41" s="5" t="s">
        <v>307</v>
      </c>
      <c r="B41" s="4"/>
      <c r="C41" s="38"/>
      <c r="D41" s="32">
        <f>_xlfn.XLOOKUP(Projects_Follow_UP[[#This Row],[Client Name]],'Hot Leads'!A:A,'Hot Leads'!B:B,0,0)</f>
        <v>0</v>
      </c>
      <c r="E41" s="32">
        <f>_xlfn.XLOOKUP(Projects_Follow_UP[[#This Row],[Client Phone Number]],'Hot Leads'!B:B,'Hot Leads'!C:C,0,0)</f>
        <v>0</v>
      </c>
      <c r="F41" s="32">
        <f>_xlfn.XLOOKUP(Projects_Follow_UP[[#This Row],[Client Name]],'Hot Leads'!A:A,'Hot Leads'!F:F, ,0)</f>
        <v>0</v>
      </c>
      <c r="G41" s="2"/>
      <c r="H41" s="2"/>
      <c r="I41" s="2"/>
      <c r="J41" s="34"/>
      <c r="K41" s="4"/>
      <c r="L41" s="6"/>
      <c r="M41" s="4"/>
      <c r="N41" s="6"/>
      <c r="O41" s="44">
        <f>IFERROR(VALUE(SUBSTITUTE(TRIM(SUBSTITUTE(Projects_Follow_UP[[#This Row],[Est. value]],"SAR","")),",","")),0)</f>
        <v>0</v>
      </c>
      <c r="P41" s="18"/>
      <c r="Q41" s="56"/>
      <c r="R41" s="56" cm="1">
        <f t="array" ref="R41">_xlfn.LET(_xlpm.x,_xlfn.XLOOKUP(A41,Dashboard!$M$61:$M$72,Dashboard!$J$61:$J$72,""),IF(_xlpm.x&lt;&gt;"",_xlpm.x,M41))</f>
        <v>0</v>
      </c>
      <c r="S41" s="341" t="str" cm="1">
        <f t="array" ref="S41">_xlfn.LET(_xlpm.x,_xlfn.XLOOKUP(A41,Dashboard!$M$61:$M$72,Dashboard!$K$61:$K$72,""),_xlpm.orig,N41,IF(_xlpm.x&lt;&gt;"",_xlpm.x,IF(OR(_xlpm.orig="",_xlpm.orig=0),"",_xlpm.orig)))</f>
        <v/>
      </c>
    </row>
    <row r="42" spans="1:19" ht="12.75">
      <c r="A42" s="5" t="s">
        <v>308</v>
      </c>
      <c r="B42" s="4"/>
      <c r="C42" s="38"/>
      <c r="D42" s="32">
        <f>_xlfn.XLOOKUP(Projects_Follow_UP[[#This Row],[Client Name]],'Hot Leads'!A:A,'Hot Leads'!B:B,0,0)</f>
        <v>0</v>
      </c>
      <c r="E42" s="32">
        <f>_xlfn.XLOOKUP(Projects_Follow_UP[[#This Row],[Client Phone Number]],'Hot Leads'!B:B,'Hot Leads'!C:C,0,0)</f>
        <v>0</v>
      </c>
      <c r="F42" s="32">
        <f>_xlfn.XLOOKUP(Projects_Follow_UP[[#This Row],[Client Name]],'Hot Leads'!A:A,'Hot Leads'!F:F, ,0)</f>
        <v>0</v>
      </c>
      <c r="G42" s="2"/>
      <c r="H42" s="2"/>
      <c r="I42" s="2"/>
      <c r="J42" s="34"/>
      <c r="K42" s="4"/>
      <c r="L42" s="6"/>
      <c r="M42" s="4"/>
      <c r="N42" s="6"/>
      <c r="O42" s="44">
        <f>IFERROR(VALUE(SUBSTITUTE(TRIM(SUBSTITUTE(Projects_Follow_UP[[#This Row],[Est. value]],"SAR","")),",","")),0)</f>
        <v>0</v>
      </c>
      <c r="P42" s="18"/>
      <c r="Q42" s="56"/>
      <c r="R42" s="56" cm="1">
        <f t="array" ref="R42">_xlfn.LET(_xlpm.x,_xlfn.XLOOKUP(A42,Dashboard!$M$61:$M$72,Dashboard!$J$61:$J$72,""),IF(_xlpm.x&lt;&gt;"",_xlpm.x,M42))</f>
        <v>0</v>
      </c>
      <c r="S42" s="341" t="str" cm="1">
        <f t="array" ref="S42">_xlfn.LET(_xlpm.x,_xlfn.XLOOKUP(A42,Dashboard!$M$61:$M$72,Dashboard!$K$61:$K$72,""),_xlpm.orig,N42,IF(_xlpm.x&lt;&gt;"",_xlpm.x,IF(OR(_xlpm.orig="",_xlpm.orig=0),"",_xlpm.orig)))</f>
        <v/>
      </c>
    </row>
    <row r="43" spans="1:19" ht="12.75">
      <c r="A43" s="5" t="s">
        <v>309</v>
      </c>
      <c r="B43" s="4"/>
      <c r="C43" s="38"/>
      <c r="D43" s="32">
        <f>_xlfn.XLOOKUP(Projects_Follow_UP[[#This Row],[Client Name]],'Hot Leads'!A:A,'Hot Leads'!B:B,0,0)</f>
        <v>0</v>
      </c>
      <c r="E43" s="32">
        <f>_xlfn.XLOOKUP(Projects_Follow_UP[[#This Row],[Client Phone Number]],'Hot Leads'!B:B,'Hot Leads'!C:C,0,0)</f>
        <v>0</v>
      </c>
      <c r="F43" s="32">
        <f>_xlfn.XLOOKUP(Projects_Follow_UP[[#This Row],[Client Name]],'Hot Leads'!A:A,'Hot Leads'!F:F, ,0)</f>
        <v>0</v>
      </c>
      <c r="G43" s="2"/>
      <c r="H43" s="2"/>
      <c r="I43" s="2"/>
      <c r="J43" s="34"/>
      <c r="K43" s="4"/>
      <c r="L43" s="6"/>
      <c r="M43" s="4"/>
      <c r="N43" s="6"/>
      <c r="O43" s="44">
        <f>IFERROR(VALUE(SUBSTITUTE(TRIM(SUBSTITUTE(Projects_Follow_UP[[#This Row],[Est. value]],"SAR","")),",","")),0)</f>
        <v>0</v>
      </c>
      <c r="P43" s="18"/>
      <c r="Q43" s="56"/>
      <c r="R43" s="56" cm="1">
        <f t="array" ref="R43">_xlfn.LET(_xlpm.x,_xlfn.XLOOKUP(A43,Dashboard!$M$61:$M$72,Dashboard!$J$61:$J$72,""),IF(_xlpm.x&lt;&gt;"",_xlpm.x,M43))</f>
        <v>0</v>
      </c>
      <c r="S43" s="341" t="str" cm="1">
        <f t="array" ref="S43">_xlfn.LET(_xlpm.x,_xlfn.XLOOKUP(A43,Dashboard!$M$61:$M$72,Dashboard!$K$61:$K$72,""),_xlpm.orig,N43,IF(_xlpm.x&lt;&gt;"",_xlpm.x,IF(OR(_xlpm.orig="",_xlpm.orig=0),"",_xlpm.orig)))</f>
        <v/>
      </c>
    </row>
    <row r="44" spans="1:19" ht="12.75">
      <c r="A44" s="5" t="s">
        <v>310</v>
      </c>
      <c r="B44" s="4"/>
      <c r="C44" s="38"/>
      <c r="D44" s="32">
        <f>_xlfn.XLOOKUP(Projects_Follow_UP[[#This Row],[Client Name]],'Hot Leads'!A:A,'Hot Leads'!B:B,0,0)</f>
        <v>0</v>
      </c>
      <c r="E44" s="32">
        <f>_xlfn.XLOOKUP(Projects_Follow_UP[[#This Row],[Client Phone Number]],'Hot Leads'!B:B,'Hot Leads'!C:C,0,0)</f>
        <v>0</v>
      </c>
      <c r="F44" s="32">
        <f>_xlfn.XLOOKUP(Projects_Follow_UP[[#This Row],[Client Name]],'Hot Leads'!A:A,'Hot Leads'!F:F, ,0)</f>
        <v>0</v>
      </c>
      <c r="G44" s="2"/>
      <c r="H44" s="2"/>
      <c r="I44" s="2"/>
      <c r="J44" s="34"/>
      <c r="K44" s="4"/>
      <c r="L44" s="6"/>
      <c r="M44" s="4"/>
      <c r="N44" s="6"/>
      <c r="O44" s="44">
        <f>IFERROR(VALUE(SUBSTITUTE(TRIM(SUBSTITUTE(Projects_Follow_UP[[#This Row],[Est. value]],"SAR","")),",","")),0)</f>
        <v>0</v>
      </c>
      <c r="P44" s="18"/>
      <c r="Q44" s="56"/>
      <c r="R44" s="56" cm="1">
        <f t="array" ref="R44">_xlfn.LET(_xlpm.x,_xlfn.XLOOKUP(A44,Dashboard!$M$61:$M$72,Dashboard!$J$61:$J$72,""),IF(_xlpm.x&lt;&gt;"",_xlpm.x,M44))</f>
        <v>0</v>
      </c>
      <c r="S44" s="341" t="str" cm="1">
        <f t="array" ref="S44">_xlfn.LET(_xlpm.x,_xlfn.XLOOKUP(A44,Dashboard!$M$61:$M$72,Dashboard!$K$61:$K$72,""),_xlpm.orig,N44,IF(_xlpm.x&lt;&gt;"",_xlpm.x,IF(OR(_xlpm.orig="",_xlpm.orig=0),"",_xlpm.orig)))</f>
        <v/>
      </c>
    </row>
    <row r="45" spans="1:19" ht="12.75">
      <c r="A45" s="5" t="s">
        <v>311</v>
      </c>
      <c r="B45" s="4"/>
      <c r="C45" s="38"/>
      <c r="D45" s="32">
        <f>_xlfn.XLOOKUP(Projects_Follow_UP[[#This Row],[Client Name]],'Hot Leads'!A:A,'Hot Leads'!B:B,0,0)</f>
        <v>0</v>
      </c>
      <c r="E45" s="32">
        <f>_xlfn.XLOOKUP(Projects_Follow_UP[[#This Row],[Client Phone Number]],'Hot Leads'!B:B,'Hot Leads'!C:C,0,0)</f>
        <v>0</v>
      </c>
      <c r="F45" s="32">
        <f>_xlfn.XLOOKUP(Projects_Follow_UP[[#This Row],[Client Name]],'Hot Leads'!A:A,'Hot Leads'!F:F, ,0)</f>
        <v>0</v>
      </c>
      <c r="G45" s="2"/>
      <c r="H45" s="2"/>
      <c r="I45" s="2"/>
      <c r="J45" s="34"/>
      <c r="K45" s="4"/>
      <c r="L45" s="6"/>
      <c r="M45" s="4"/>
      <c r="N45" s="6"/>
      <c r="O45" s="44">
        <f>IFERROR(VALUE(SUBSTITUTE(TRIM(SUBSTITUTE(Projects_Follow_UP[[#This Row],[Est. value]],"SAR","")),",","")),0)</f>
        <v>0</v>
      </c>
      <c r="P45" s="18"/>
      <c r="Q45" s="56"/>
      <c r="R45" s="56" cm="1">
        <f t="array" ref="R45">_xlfn.LET(_xlpm.x,_xlfn.XLOOKUP(A45,Dashboard!$M$61:$M$72,Dashboard!$J$61:$J$72,""),IF(_xlpm.x&lt;&gt;"",_xlpm.x,M45))</f>
        <v>0</v>
      </c>
      <c r="S45" s="341" t="str" cm="1">
        <f t="array" ref="S45">_xlfn.LET(_xlpm.x,_xlfn.XLOOKUP(A45,Dashboard!$M$61:$M$72,Dashboard!$K$61:$K$72,""),_xlpm.orig,N45,IF(_xlpm.x&lt;&gt;"",_xlpm.x,IF(OR(_xlpm.orig="",_xlpm.orig=0),"",_xlpm.orig)))</f>
        <v/>
      </c>
    </row>
    <row r="46" spans="1:19" ht="12.75">
      <c r="A46" s="5" t="s">
        <v>312</v>
      </c>
      <c r="B46" s="4"/>
      <c r="C46" s="38"/>
      <c r="D46" s="32">
        <f>_xlfn.XLOOKUP(Projects_Follow_UP[[#This Row],[Client Name]],'Hot Leads'!A:A,'Hot Leads'!B:B,0,0)</f>
        <v>0</v>
      </c>
      <c r="E46" s="32">
        <f>_xlfn.XLOOKUP(Projects_Follow_UP[[#This Row],[Client Phone Number]],'Hot Leads'!B:B,'Hot Leads'!C:C,0,0)</f>
        <v>0</v>
      </c>
      <c r="F46" s="32">
        <f>_xlfn.XLOOKUP(Projects_Follow_UP[[#This Row],[Client Name]],'Hot Leads'!A:A,'Hot Leads'!F:F, ,0)</f>
        <v>0</v>
      </c>
      <c r="G46" s="2"/>
      <c r="H46" s="2"/>
      <c r="I46" s="2"/>
      <c r="J46" s="34"/>
      <c r="K46" s="4"/>
      <c r="L46" s="6"/>
      <c r="M46" s="4"/>
      <c r="N46" s="6"/>
      <c r="O46" s="44">
        <f>IFERROR(VALUE(SUBSTITUTE(TRIM(SUBSTITUTE(Projects_Follow_UP[[#This Row],[Est. value]],"SAR","")),",","")),0)</f>
        <v>0</v>
      </c>
      <c r="P46" s="18"/>
      <c r="Q46" s="56"/>
      <c r="R46" s="56" cm="1">
        <f t="array" ref="R46">_xlfn.LET(_xlpm.x,_xlfn.XLOOKUP(A46,Dashboard!$M$61:$M$72,Dashboard!$J$61:$J$72,""),IF(_xlpm.x&lt;&gt;"",_xlpm.x,M46))</f>
        <v>0</v>
      </c>
      <c r="S46" s="341" t="str" cm="1">
        <f t="array" ref="S46">_xlfn.LET(_xlpm.x,_xlfn.XLOOKUP(A46,Dashboard!$M$61:$M$72,Dashboard!$K$61:$K$72,""),_xlpm.orig,N46,IF(_xlpm.x&lt;&gt;"",_xlpm.x,IF(OR(_xlpm.orig="",_xlpm.orig=0),"",_xlpm.orig)))</f>
        <v/>
      </c>
    </row>
    <row r="47" spans="1:19" ht="12.75">
      <c r="A47" s="5" t="s">
        <v>313</v>
      </c>
      <c r="B47" s="4"/>
      <c r="C47" s="38"/>
      <c r="D47" s="32">
        <f>_xlfn.XLOOKUP(Projects_Follow_UP[[#This Row],[Client Name]],'Hot Leads'!A:A,'Hot Leads'!B:B,0,0)</f>
        <v>0</v>
      </c>
      <c r="E47" s="32">
        <f>_xlfn.XLOOKUP(Projects_Follow_UP[[#This Row],[Client Phone Number]],'Hot Leads'!B:B,'Hot Leads'!C:C,0,0)</f>
        <v>0</v>
      </c>
      <c r="F47" s="32">
        <f>_xlfn.XLOOKUP(Projects_Follow_UP[[#This Row],[Client Name]],'Hot Leads'!A:A,'Hot Leads'!F:F, ,0)</f>
        <v>0</v>
      </c>
      <c r="G47" s="2"/>
      <c r="H47" s="2"/>
      <c r="I47" s="2"/>
      <c r="J47" s="34"/>
      <c r="K47" s="4"/>
      <c r="L47" s="6"/>
      <c r="M47" s="4"/>
      <c r="N47" s="6"/>
      <c r="O47" s="44">
        <f>IFERROR(VALUE(SUBSTITUTE(TRIM(SUBSTITUTE(Projects_Follow_UP[[#This Row],[Est. value]],"SAR","")),",","")),0)</f>
        <v>0</v>
      </c>
      <c r="P47" s="18"/>
      <c r="Q47" s="56"/>
      <c r="R47" s="56" cm="1">
        <f t="array" ref="R47">_xlfn.LET(_xlpm.x,_xlfn.XLOOKUP(A47,Dashboard!$M$61:$M$72,Dashboard!$J$61:$J$72,""),IF(_xlpm.x&lt;&gt;"",_xlpm.x,M47))</f>
        <v>0</v>
      </c>
      <c r="S47" s="341" t="str" cm="1">
        <f t="array" ref="S47">_xlfn.LET(_xlpm.x,_xlfn.XLOOKUP(A47,Dashboard!$M$61:$M$72,Dashboard!$K$61:$K$72,""),_xlpm.orig,N47,IF(_xlpm.x&lt;&gt;"",_xlpm.x,IF(OR(_xlpm.orig="",_xlpm.orig=0),"",_xlpm.orig)))</f>
        <v/>
      </c>
    </row>
    <row r="48" spans="1:19" ht="12.75">
      <c r="A48" s="5" t="s">
        <v>314</v>
      </c>
      <c r="B48" s="4"/>
      <c r="C48" s="38"/>
      <c r="D48" s="32">
        <f>_xlfn.XLOOKUP(Projects_Follow_UP[[#This Row],[Client Name]],'Hot Leads'!A:A,'Hot Leads'!B:B,0,0)</f>
        <v>0</v>
      </c>
      <c r="E48" s="32">
        <f>_xlfn.XLOOKUP(Projects_Follow_UP[[#This Row],[Client Phone Number]],'Hot Leads'!B:B,'Hot Leads'!C:C,0,0)</f>
        <v>0</v>
      </c>
      <c r="F48" s="32">
        <f>_xlfn.XLOOKUP(Projects_Follow_UP[[#This Row],[Client Name]],'Hot Leads'!A:A,'Hot Leads'!F:F, ,0)</f>
        <v>0</v>
      </c>
      <c r="G48" s="2"/>
      <c r="H48" s="2"/>
      <c r="I48" s="2"/>
      <c r="J48" s="34"/>
      <c r="K48" s="4"/>
      <c r="L48" s="6"/>
      <c r="M48" s="4"/>
      <c r="N48" s="6"/>
      <c r="O48" s="44">
        <f>IFERROR(VALUE(SUBSTITUTE(TRIM(SUBSTITUTE(Projects_Follow_UP[[#This Row],[Est. value]],"SAR","")),",","")),0)</f>
        <v>0</v>
      </c>
      <c r="P48" s="18"/>
      <c r="Q48" s="56"/>
      <c r="R48" s="56" cm="1">
        <f t="array" ref="R48">_xlfn.LET(_xlpm.x,_xlfn.XLOOKUP(A48,Dashboard!$M$61:$M$72,Dashboard!$J$61:$J$72,""),IF(_xlpm.x&lt;&gt;"",_xlpm.x,M48))</f>
        <v>0</v>
      </c>
      <c r="S48" s="341" t="str" cm="1">
        <f t="array" ref="S48">_xlfn.LET(_xlpm.x,_xlfn.XLOOKUP(A48,Dashboard!$M$61:$M$72,Dashboard!$K$61:$K$72,""),_xlpm.orig,N48,IF(_xlpm.x&lt;&gt;"",_xlpm.x,IF(OR(_xlpm.orig="",_xlpm.orig=0),"",_xlpm.orig)))</f>
        <v/>
      </c>
    </row>
    <row r="49" spans="1:19" ht="12.75">
      <c r="A49" s="5" t="s">
        <v>315</v>
      </c>
      <c r="B49" s="4"/>
      <c r="C49" s="38"/>
      <c r="D49" s="32">
        <f>_xlfn.XLOOKUP(Projects_Follow_UP[[#This Row],[Client Name]],'Hot Leads'!A:A,'Hot Leads'!B:B,0,0)</f>
        <v>0</v>
      </c>
      <c r="E49" s="32">
        <f>_xlfn.XLOOKUP(Projects_Follow_UP[[#This Row],[Client Phone Number]],'Hot Leads'!B:B,'Hot Leads'!C:C,0,0)</f>
        <v>0</v>
      </c>
      <c r="F49" s="32">
        <f>_xlfn.XLOOKUP(Projects_Follow_UP[[#This Row],[Client Name]],'Hot Leads'!A:A,'Hot Leads'!F:F, ,0)</f>
        <v>0</v>
      </c>
      <c r="G49" s="2"/>
      <c r="H49" s="2"/>
      <c r="I49" s="2"/>
      <c r="J49" s="34"/>
      <c r="K49" s="4"/>
      <c r="L49" s="6"/>
      <c r="M49" s="4"/>
      <c r="N49" s="6"/>
      <c r="O49" s="44">
        <f>IFERROR(VALUE(SUBSTITUTE(TRIM(SUBSTITUTE(Projects_Follow_UP[[#This Row],[Est. value]],"SAR","")),",","")),0)</f>
        <v>0</v>
      </c>
      <c r="P49" s="18"/>
      <c r="Q49" s="56"/>
      <c r="R49" s="56" cm="1">
        <f t="array" ref="R49">_xlfn.LET(_xlpm.x,_xlfn.XLOOKUP(A49,Dashboard!$M$61:$M$72,Dashboard!$J$61:$J$72,""),IF(_xlpm.x&lt;&gt;"",_xlpm.x,M49))</f>
        <v>0</v>
      </c>
      <c r="S49" s="341" t="str" cm="1">
        <f t="array" ref="S49">_xlfn.LET(_xlpm.x,_xlfn.XLOOKUP(A49,Dashboard!$M$61:$M$72,Dashboard!$K$61:$K$72,""),_xlpm.orig,N49,IF(_xlpm.x&lt;&gt;"",_xlpm.x,IF(OR(_xlpm.orig="",_xlpm.orig=0),"",_xlpm.orig)))</f>
        <v/>
      </c>
    </row>
    <row r="50" spans="1:19" ht="12.75">
      <c r="A50" s="5" t="s">
        <v>316</v>
      </c>
      <c r="B50" s="4"/>
      <c r="C50" s="38"/>
      <c r="D50" s="32">
        <f>_xlfn.XLOOKUP(Projects_Follow_UP[[#This Row],[Client Name]],'Hot Leads'!A:A,'Hot Leads'!B:B,0,0)</f>
        <v>0</v>
      </c>
      <c r="E50" s="32">
        <f>_xlfn.XLOOKUP(Projects_Follow_UP[[#This Row],[Client Phone Number]],'Hot Leads'!B:B,'Hot Leads'!C:C,0,0)</f>
        <v>0</v>
      </c>
      <c r="F50" s="32">
        <f>_xlfn.XLOOKUP(Projects_Follow_UP[[#This Row],[Client Name]],'Hot Leads'!A:A,'Hot Leads'!F:F, ,0)</f>
        <v>0</v>
      </c>
      <c r="G50" s="2"/>
      <c r="H50" s="2"/>
      <c r="I50" s="2"/>
      <c r="J50" s="34"/>
      <c r="K50" s="4"/>
      <c r="L50" s="6"/>
      <c r="M50" s="4"/>
      <c r="N50" s="6"/>
      <c r="O50" s="44">
        <f>IFERROR(VALUE(SUBSTITUTE(TRIM(SUBSTITUTE(Projects_Follow_UP[[#This Row],[Est. value]],"SAR","")),",","")),0)</f>
        <v>0</v>
      </c>
      <c r="P50" s="18"/>
      <c r="Q50" s="56"/>
      <c r="R50" s="56" cm="1">
        <f t="array" ref="R50">_xlfn.LET(_xlpm.x,_xlfn.XLOOKUP(A50,Dashboard!$M$61:$M$72,Dashboard!$J$61:$J$72,""),IF(_xlpm.x&lt;&gt;"",_xlpm.x,M50))</f>
        <v>0</v>
      </c>
      <c r="S50" s="341" t="str" cm="1">
        <f t="array" ref="S50">_xlfn.LET(_xlpm.x,_xlfn.XLOOKUP(A50,Dashboard!$M$61:$M$72,Dashboard!$K$61:$K$72,""),_xlpm.orig,N50,IF(_xlpm.x&lt;&gt;"",_xlpm.x,IF(OR(_xlpm.orig="",_xlpm.orig=0),"",_xlpm.orig)))</f>
        <v/>
      </c>
    </row>
    <row r="51" spans="1:19" ht="12.75">
      <c r="A51" s="5" t="s">
        <v>317</v>
      </c>
      <c r="B51" s="4"/>
      <c r="C51" s="38"/>
      <c r="D51" s="32">
        <f>_xlfn.XLOOKUP(Projects_Follow_UP[[#This Row],[Client Name]],'Hot Leads'!A:A,'Hot Leads'!B:B,0,0)</f>
        <v>0</v>
      </c>
      <c r="E51" s="32">
        <f>_xlfn.XLOOKUP(Projects_Follow_UP[[#This Row],[Client Phone Number]],'Hot Leads'!B:B,'Hot Leads'!C:C,0,0)</f>
        <v>0</v>
      </c>
      <c r="F51" s="32">
        <f>_xlfn.XLOOKUP(Projects_Follow_UP[[#This Row],[Client Name]],'Hot Leads'!A:A,'Hot Leads'!F:F, ,0)</f>
        <v>0</v>
      </c>
      <c r="G51" s="2"/>
      <c r="H51" s="2"/>
      <c r="I51" s="2"/>
      <c r="J51" s="34"/>
      <c r="K51" s="4"/>
      <c r="L51" s="6"/>
      <c r="M51" s="4"/>
      <c r="N51" s="6"/>
      <c r="O51" s="44">
        <f>IFERROR(VALUE(SUBSTITUTE(TRIM(SUBSTITUTE(Projects_Follow_UP[[#This Row],[Est. value]],"SAR","")),",","")),0)</f>
        <v>0</v>
      </c>
      <c r="P51" s="18"/>
      <c r="Q51" s="56"/>
      <c r="R51" s="56" cm="1">
        <f t="array" ref="R51">_xlfn.LET(_xlpm.x,_xlfn.XLOOKUP(A51,Dashboard!$M$61:$M$72,Dashboard!$J$61:$J$72,""),IF(_xlpm.x&lt;&gt;"",_xlpm.x,M51))</f>
        <v>0</v>
      </c>
      <c r="S51" s="341" t="str" cm="1">
        <f t="array" ref="S51">_xlfn.LET(_xlpm.x,_xlfn.XLOOKUP(A51,Dashboard!$M$61:$M$72,Dashboard!$K$61:$K$72,""),_xlpm.orig,N51,IF(_xlpm.x&lt;&gt;"",_xlpm.x,IF(OR(_xlpm.orig="",_xlpm.orig=0),"",_xlpm.orig)))</f>
        <v/>
      </c>
    </row>
    <row r="52" spans="1:19" ht="12.75">
      <c r="A52" s="5" t="s">
        <v>318</v>
      </c>
      <c r="B52" s="4"/>
      <c r="C52" s="38"/>
      <c r="D52" s="32">
        <f>_xlfn.XLOOKUP(Projects_Follow_UP[[#This Row],[Client Name]],'Hot Leads'!A:A,'Hot Leads'!B:B,0,0)</f>
        <v>0</v>
      </c>
      <c r="E52" s="32">
        <f>_xlfn.XLOOKUP(Projects_Follow_UP[[#This Row],[Client Phone Number]],'Hot Leads'!B:B,'Hot Leads'!C:C,0,0)</f>
        <v>0</v>
      </c>
      <c r="F52" s="32">
        <f>_xlfn.XLOOKUP(Projects_Follow_UP[[#This Row],[Client Name]],'Hot Leads'!A:A,'Hot Leads'!F:F, ,0)</f>
        <v>0</v>
      </c>
      <c r="G52" s="2"/>
      <c r="H52" s="2"/>
      <c r="I52" s="2"/>
      <c r="J52" s="34"/>
      <c r="K52" s="4"/>
      <c r="L52" s="6"/>
      <c r="M52" s="4"/>
      <c r="N52" s="6"/>
      <c r="O52" s="44">
        <f>IFERROR(VALUE(SUBSTITUTE(TRIM(SUBSTITUTE(Projects_Follow_UP[[#This Row],[Est. value]],"SAR","")),",","")),0)</f>
        <v>0</v>
      </c>
      <c r="P52" s="18"/>
      <c r="Q52" s="56"/>
      <c r="R52" s="56" cm="1">
        <f t="array" ref="R52">_xlfn.LET(_xlpm.x,_xlfn.XLOOKUP(A52,Dashboard!$M$61:$M$72,Dashboard!$J$61:$J$72,""),IF(_xlpm.x&lt;&gt;"",_xlpm.x,M52))</f>
        <v>0</v>
      </c>
      <c r="S52" s="341" t="str" cm="1">
        <f t="array" ref="S52">_xlfn.LET(_xlpm.x,_xlfn.XLOOKUP(A52,Dashboard!$M$61:$M$72,Dashboard!$K$61:$K$72,""),_xlpm.orig,N52,IF(_xlpm.x&lt;&gt;"",_xlpm.x,IF(OR(_xlpm.orig="",_xlpm.orig=0),"",_xlpm.orig)))</f>
        <v/>
      </c>
    </row>
    <row r="53" spans="1:19" ht="12.75">
      <c r="A53" s="5" t="s">
        <v>319</v>
      </c>
      <c r="B53" s="4"/>
      <c r="C53" s="38"/>
      <c r="D53" s="32">
        <f>_xlfn.XLOOKUP(Projects_Follow_UP[[#This Row],[Client Name]],'Hot Leads'!A:A,'Hot Leads'!B:B,0,0)</f>
        <v>0</v>
      </c>
      <c r="E53" s="32">
        <f>_xlfn.XLOOKUP(Projects_Follow_UP[[#This Row],[Client Phone Number]],'Hot Leads'!B:B,'Hot Leads'!C:C,0,0)</f>
        <v>0</v>
      </c>
      <c r="F53" s="32">
        <f>_xlfn.XLOOKUP(Projects_Follow_UP[[#This Row],[Client Name]],'Hot Leads'!A:A,'Hot Leads'!F:F, ,0)</f>
        <v>0</v>
      </c>
      <c r="G53" s="2"/>
      <c r="H53" s="2"/>
      <c r="I53" s="2"/>
      <c r="J53" s="34"/>
      <c r="K53" s="4"/>
      <c r="L53" s="6"/>
      <c r="M53" s="4"/>
      <c r="N53" s="6"/>
      <c r="O53" s="44">
        <f>IFERROR(VALUE(SUBSTITUTE(TRIM(SUBSTITUTE(Projects_Follow_UP[[#This Row],[Est. value]],"SAR","")),",","")),0)</f>
        <v>0</v>
      </c>
      <c r="P53" s="18"/>
      <c r="Q53" s="56"/>
      <c r="R53" s="56" cm="1">
        <f t="array" ref="R53">_xlfn.LET(_xlpm.x,_xlfn.XLOOKUP(A53,Dashboard!$M$61:$M$72,Dashboard!$J$61:$J$72,""),IF(_xlpm.x&lt;&gt;"",_xlpm.x,M53))</f>
        <v>0</v>
      </c>
      <c r="S53" s="341" t="str" cm="1">
        <f t="array" ref="S53">_xlfn.LET(_xlpm.x,_xlfn.XLOOKUP(A53,Dashboard!$M$61:$M$72,Dashboard!$K$61:$K$72,""),_xlpm.orig,N53,IF(_xlpm.x&lt;&gt;"",_xlpm.x,IF(OR(_xlpm.orig="",_xlpm.orig=0),"",_xlpm.orig)))</f>
        <v/>
      </c>
    </row>
    <row r="54" spans="1:19" ht="12.75">
      <c r="A54" s="5" t="s">
        <v>320</v>
      </c>
      <c r="B54" s="4"/>
      <c r="C54" s="38"/>
      <c r="D54" s="32">
        <f>_xlfn.XLOOKUP(Projects_Follow_UP[[#This Row],[Client Name]],'Hot Leads'!A:A,'Hot Leads'!B:B,0,0)</f>
        <v>0</v>
      </c>
      <c r="E54" s="32">
        <f>_xlfn.XLOOKUP(Projects_Follow_UP[[#This Row],[Client Phone Number]],'Hot Leads'!B:B,'Hot Leads'!C:C,0,0)</f>
        <v>0</v>
      </c>
      <c r="F54" s="32">
        <f>_xlfn.XLOOKUP(Projects_Follow_UP[[#This Row],[Client Name]],'Hot Leads'!A:A,'Hot Leads'!F:F, ,0)</f>
        <v>0</v>
      </c>
      <c r="G54" s="2"/>
      <c r="H54" s="2"/>
      <c r="I54" s="2"/>
      <c r="J54" s="34"/>
      <c r="K54" s="4"/>
      <c r="L54" s="6"/>
      <c r="M54" s="4"/>
      <c r="N54" s="6"/>
      <c r="O54" s="44">
        <f>IFERROR(VALUE(SUBSTITUTE(TRIM(SUBSTITUTE(Projects_Follow_UP[[#This Row],[Est. value]],"SAR","")),",","")),0)</f>
        <v>0</v>
      </c>
      <c r="P54" s="18"/>
      <c r="Q54" s="56"/>
      <c r="R54" s="56" cm="1">
        <f t="array" ref="R54">_xlfn.LET(_xlpm.x,_xlfn.XLOOKUP(A54,Dashboard!$M$61:$M$72,Dashboard!$J$61:$J$72,""),IF(_xlpm.x&lt;&gt;"",_xlpm.x,M54))</f>
        <v>0</v>
      </c>
      <c r="S54" s="341" t="str" cm="1">
        <f t="array" ref="S54">_xlfn.LET(_xlpm.x,_xlfn.XLOOKUP(A54,Dashboard!$M$61:$M$72,Dashboard!$K$61:$K$72,""),_xlpm.orig,N54,IF(_xlpm.x&lt;&gt;"",_xlpm.x,IF(OR(_xlpm.orig="",_xlpm.orig=0),"",_xlpm.orig)))</f>
        <v/>
      </c>
    </row>
    <row r="55" spans="1:19" ht="12.75">
      <c r="A55" s="5" t="s">
        <v>321</v>
      </c>
      <c r="B55" s="4"/>
      <c r="C55" s="38"/>
      <c r="D55" s="32">
        <f>_xlfn.XLOOKUP(Projects_Follow_UP[[#This Row],[Client Name]],'Hot Leads'!A:A,'Hot Leads'!B:B,0,0)</f>
        <v>0</v>
      </c>
      <c r="E55" s="32">
        <f>_xlfn.XLOOKUP(Projects_Follow_UP[[#This Row],[Client Phone Number]],'Hot Leads'!B:B,'Hot Leads'!C:C,0,0)</f>
        <v>0</v>
      </c>
      <c r="F55" s="32">
        <f>_xlfn.XLOOKUP(Projects_Follow_UP[[#This Row],[Client Name]],'Hot Leads'!A:A,'Hot Leads'!F:F, ,0)</f>
        <v>0</v>
      </c>
      <c r="G55" s="2"/>
      <c r="H55" s="2"/>
      <c r="I55" s="2"/>
      <c r="J55" s="34"/>
      <c r="K55" s="4"/>
      <c r="L55" s="6"/>
      <c r="M55" s="4"/>
      <c r="N55" s="6"/>
      <c r="O55" s="44">
        <f>IFERROR(VALUE(SUBSTITUTE(TRIM(SUBSTITUTE(Projects_Follow_UP[[#This Row],[Est. value]],"SAR","")),",","")),0)</f>
        <v>0</v>
      </c>
      <c r="P55" s="18"/>
      <c r="Q55" s="56"/>
      <c r="R55" s="56" cm="1">
        <f t="array" ref="R55">_xlfn.LET(_xlpm.x,_xlfn.XLOOKUP(A55,Dashboard!$M$61:$M$72,Dashboard!$J$61:$J$72,""),IF(_xlpm.x&lt;&gt;"",_xlpm.x,M55))</f>
        <v>0</v>
      </c>
      <c r="S55" s="341" t="str" cm="1">
        <f t="array" ref="S55">_xlfn.LET(_xlpm.x,_xlfn.XLOOKUP(A55,Dashboard!$M$61:$M$72,Dashboard!$K$61:$K$72,""),_xlpm.orig,N55,IF(_xlpm.x&lt;&gt;"",_xlpm.x,IF(OR(_xlpm.orig="",_xlpm.orig=0),"",_xlpm.orig)))</f>
        <v/>
      </c>
    </row>
    <row r="56" spans="1:19" ht="12.75">
      <c r="A56" s="5" t="s">
        <v>322</v>
      </c>
      <c r="B56" s="4"/>
      <c r="C56" s="38"/>
      <c r="D56" s="32">
        <f>_xlfn.XLOOKUP(Projects_Follow_UP[[#This Row],[Client Name]],'Hot Leads'!A:A,'Hot Leads'!B:B,0,0)</f>
        <v>0</v>
      </c>
      <c r="E56" s="32">
        <f>_xlfn.XLOOKUP(Projects_Follow_UP[[#This Row],[Client Phone Number]],'Hot Leads'!B:B,'Hot Leads'!C:C,0,0)</f>
        <v>0</v>
      </c>
      <c r="F56" s="32">
        <f>_xlfn.XLOOKUP(Projects_Follow_UP[[#This Row],[Client Name]],'Hot Leads'!A:A,'Hot Leads'!F:F, ,0)</f>
        <v>0</v>
      </c>
      <c r="G56" s="2"/>
      <c r="H56" s="2"/>
      <c r="I56" s="2"/>
      <c r="J56" s="34"/>
      <c r="K56" s="4"/>
      <c r="L56" s="6"/>
      <c r="M56" s="4"/>
      <c r="N56" s="6"/>
      <c r="O56" s="44">
        <f>IFERROR(VALUE(SUBSTITUTE(TRIM(SUBSTITUTE(Projects_Follow_UP[[#This Row],[Est. value]],"SAR","")),",","")),0)</f>
        <v>0</v>
      </c>
      <c r="P56" s="18"/>
      <c r="Q56" s="56"/>
      <c r="R56" s="56" cm="1">
        <f t="array" ref="R56">_xlfn.LET(_xlpm.x,_xlfn.XLOOKUP(A56,Dashboard!$M$61:$M$72,Dashboard!$J$61:$J$72,""),IF(_xlpm.x&lt;&gt;"",_xlpm.x,M56))</f>
        <v>0</v>
      </c>
      <c r="S56" s="341" t="str" cm="1">
        <f t="array" ref="S56">_xlfn.LET(_xlpm.x,_xlfn.XLOOKUP(A56,Dashboard!$M$61:$M$72,Dashboard!$K$61:$K$72,""),_xlpm.orig,N56,IF(_xlpm.x&lt;&gt;"",_xlpm.x,IF(OR(_xlpm.orig="",_xlpm.orig=0),"",_xlpm.orig)))</f>
        <v/>
      </c>
    </row>
    <row r="57" spans="1:19" ht="12.75">
      <c r="A57" s="5" t="s">
        <v>323</v>
      </c>
      <c r="B57" s="4"/>
      <c r="C57" s="38"/>
      <c r="D57" s="32">
        <f>_xlfn.XLOOKUP(Projects_Follow_UP[[#This Row],[Client Name]],'Hot Leads'!A:A,'Hot Leads'!B:B,0,0)</f>
        <v>0</v>
      </c>
      <c r="E57" s="32">
        <f>_xlfn.XLOOKUP(Projects_Follow_UP[[#This Row],[Client Phone Number]],'Hot Leads'!B:B,'Hot Leads'!C:C,0,0)</f>
        <v>0</v>
      </c>
      <c r="F57" s="32">
        <f>_xlfn.XLOOKUP(Projects_Follow_UP[[#This Row],[Client Name]],'Hot Leads'!A:A,'Hot Leads'!F:F, ,0)</f>
        <v>0</v>
      </c>
      <c r="G57" s="2"/>
      <c r="H57" s="2"/>
      <c r="I57" s="2"/>
      <c r="J57" s="34"/>
      <c r="K57" s="4"/>
      <c r="L57" s="6"/>
      <c r="M57" s="4"/>
      <c r="N57" s="6"/>
      <c r="O57" s="44">
        <f>IFERROR(VALUE(SUBSTITUTE(TRIM(SUBSTITUTE(Projects_Follow_UP[[#This Row],[Est. value]],"SAR","")),",","")),0)</f>
        <v>0</v>
      </c>
      <c r="P57" s="18"/>
      <c r="Q57" s="56"/>
      <c r="R57" s="56" cm="1">
        <f t="array" ref="R57">_xlfn.LET(_xlpm.x,_xlfn.XLOOKUP(A57,Dashboard!$M$61:$M$72,Dashboard!$J$61:$J$72,""),IF(_xlpm.x&lt;&gt;"",_xlpm.x,M57))</f>
        <v>0</v>
      </c>
      <c r="S57" s="341" t="str" cm="1">
        <f t="array" ref="S57">_xlfn.LET(_xlpm.x,_xlfn.XLOOKUP(A57,Dashboard!$M$61:$M$72,Dashboard!$K$61:$K$72,""),_xlpm.orig,N57,IF(_xlpm.x&lt;&gt;"",_xlpm.x,IF(OR(_xlpm.orig="",_xlpm.orig=0),"",_xlpm.orig)))</f>
        <v/>
      </c>
    </row>
    <row r="58" spans="1:19" ht="12.75">
      <c r="A58" s="5" t="s">
        <v>324</v>
      </c>
      <c r="B58" s="4"/>
      <c r="C58" s="38"/>
      <c r="D58" s="32">
        <f>_xlfn.XLOOKUP(Projects_Follow_UP[[#This Row],[Client Name]],'Hot Leads'!A:A,'Hot Leads'!B:B,0,0)</f>
        <v>0</v>
      </c>
      <c r="E58" s="32">
        <f>_xlfn.XLOOKUP(Projects_Follow_UP[[#This Row],[Client Phone Number]],'Hot Leads'!B:B,'Hot Leads'!C:C,0,0)</f>
        <v>0</v>
      </c>
      <c r="F58" s="32">
        <f>_xlfn.XLOOKUP(Projects_Follow_UP[[#This Row],[Client Name]],'Hot Leads'!A:A,'Hot Leads'!F:F, ,0)</f>
        <v>0</v>
      </c>
      <c r="G58" s="2"/>
      <c r="H58" s="2"/>
      <c r="I58" s="2"/>
      <c r="J58" s="34"/>
      <c r="K58" s="4"/>
      <c r="L58" s="6"/>
      <c r="M58" s="4"/>
      <c r="N58" s="6"/>
      <c r="O58" s="44">
        <f>IFERROR(VALUE(SUBSTITUTE(TRIM(SUBSTITUTE(Projects_Follow_UP[[#This Row],[Est. value]],"SAR","")),",","")),0)</f>
        <v>0</v>
      </c>
      <c r="P58" s="18"/>
      <c r="Q58" s="56"/>
      <c r="R58" s="56" cm="1">
        <f t="array" ref="R58">_xlfn.LET(_xlpm.x,_xlfn.XLOOKUP(A58,Dashboard!$M$61:$M$72,Dashboard!$J$61:$J$72,""),IF(_xlpm.x&lt;&gt;"",_xlpm.x,M58))</f>
        <v>0</v>
      </c>
      <c r="S58" s="341" t="str" cm="1">
        <f t="array" ref="S58">_xlfn.LET(_xlpm.x,_xlfn.XLOOKUP(A58,Dashboard!$M$61:$M$72,Dashboard!$K$61:$K$72,""),_xlpm.orig,N58,IF(_xlpm.x&lt;&gt;"",_xlpm.x,IF(OR(_xlpm.orig="",_xlpm.orig=0),"",_xlpm.orig)))</f>
        <v/>
      </c>
    </row>
    <row r="59" spans="1:19" ht="12.75">
      <c r="A59" s="5" t="s">
        <v>325</v>
      </c>
      <c r="B59" s="4"/>
      <c r="C59" s="38"/>
      <c r="D59" s="32">
        <f>_xlfn.XLOOKUP(Projects_Follow_UP[[#This Row],[Client Name]],'Hot Leads'!A:A,'Hot Leads'!B:B,0,0)</f>
        <v>0</v>
      </c>
      <c r="E59" s="32">
        <f>_xlfn.XLOOKUP(Projects_Follow_UP[[#This Row],[Client Phone Number]],'Hot Leads'!B:B,'Hot Leads'!C:C,0,0)</f>
        <v>0</v>
      </c>
      <c r="F59" s="32">
        <f>_xlfn.XLOOKUP(Projects_Follow_UP[[#This Row],[Client Name]],'Hot Leads'!A:A,'Hot Leads'!F:F, ,0)</f>
        <v>0</v>
      </c>
      <c r="G59" s="2"/>
      <c r="H59" s="2"/>
      <c r="I59" s="2"/>
      <c r="J59" s="34"/>
      <c r="K59" s="4"/>
      <c r="L59" s="6"/>
      <c r="M59" s="4"/>
      <c r="N59" s="6"/>
      <c r="O59" s="44">
        <f>IFERROR(VALUE(SUBSTITUTE(TRIM(SUBSTITUTE(Projects_Follow_UP[[#This Row],[Est. value]],"SAR","")),",","")),0)</f>
        <v>0</v>
      </c>
      <c r="P59" s="18"/>
      <c r="Q59" s="56"/>
      <c r="R59" s="56" cm="1">
        <f t="array" ref="R59">_xlfn.LET(_xlpm.x,_xlfn.XLOOKUP(A59,Dashboard!$M$61:$M$72,Dashboard!$J$61:$J$72,""),IF(_xlpm.x&lt;&gt;"",_xlpm.x,M59))</f>
        <v>0</v>
      </c>
      <c r="S59" s="341" t="str" cm="1">
        <f t="array" ref="S59">_xlfn.LET(_xlpm.x,_xlfn.XLOOKUP(A59,Dashboard!$M$61:$M$72,Dashboard!$K$61:$K$72,""),_xlpm.orig,N59,IF(_xlpm.x&lt;&gt;"",_xlpm.x,IF(OR(_xlpm.orig="",_xlpm.orig=0),"",_xlpm.orig)))</f>
        <v/>
      </c>
    </row>
    <row r="60" spans="1:19" ht="12.75">
      <c r="A60" s="5" t="s">
        <v>326</v>
      </c>
      <c r="B60" s="4"/>
      <c r="C60" s="38"/>
      <c r="D60" s="32">
        <f>_xlfn.XLOOKUP(Projects_Follow_UP[[#This Row],[Client Name]],'Hot Leads'!A:A,'Hot Leads'!B:B,0,0)</f>
        <v>0</v>
      </c>
      <c r="E60" s="32">
        <f>_xlfn.XLOOKUP(Projects_Follow_UP[[#This Row],[Client Phone Number]],'Hot Leads'!B:B,'Hot Leads'!C:C,0,0)</f>
        <v>0</v>
      </c>
      <c r="F60" s="32">
        <f>_xlfn.XLOOKUP(Projects_Follow_UP[[#This Row],[Client Name]],'Hot Leads'!A:A,'Hot Leads'!F:F, ,0)</f>
        <v>0</v>
      </c>
      <c r="G60" s="2"/>
      <c r="H60" s="2"/>
      <c r="I60" s="2"/>
      <c r="J60" s="34"/>
      <c r="K60" s="4"/>
      <c r="L60" s="6"/>
      <c r="M60" s="4"/>
      <c r="N60" s="6"/>
      <c r="O60" s="44">
        <f>IFERROR(VALUE(SUBSTITUTE(TRIM(SUBSTITUTE(Projects_Follow_UP[[#This Row],[Est. value]],"SAR","")),",","")),0)</f>
        <v>0</v>
      </c>
      <c r="P60" s="18"/>
      <c r="Q60" s="56"/>
      <c r="R60" s="56" cm="1">
        <f t="array" ref="R60">_xlfn.LET(_xlpm.x,_xlfn.XLOOKUP(A60,Dashboard!$M$61:$M$72,Dashboard!$J$61:$J$72,""),IF(_xlpm.x&lt;&gt;"",_xlpm.x,M60))</f>
        <v>0</v>
      </c>
      <c r="S60" s="341" t="str" cm="1">
        <f t="array" ref="S60">_xlfn.LET(_xlpm.x,_xlfn.XLOOKUP(A60,Dashboard!$M$61:$M$72,Dashboard!$K$61:$K$72,""),_xlpm.orig,N60,IF(_xlpm.x&lt;&gt;"",_xlpm.x,IF(OR(_xlpm.orig="",_xlpm.orig=0),"",_xlpm.orig)))</f>
        <v/>
      </c>
    </row>
    <row r="61" spans="1:19" ht="12.75">
      <c r="A61" s="5" t="s">
        <v>327</v>
      </c>
      <c r="B61" s="4"/>
      <c r="C61" s="38"/>
      <c r="D61" s="32">
        <f>_xlfn.XLOOKUP(Projects_Follow_UP[[#This Row],[Client Name]],'Hot Leads'!A:A,'Hot Leads'!B:B,0,0)</f>
        <v>0</v>
      </c>
      <c r="E61" s="32">
        <f>_xlfn.XLOOKUP(Projects_Follow_UP[[#This Row],[Client Phone Number]],'Hot Leads'!B:B,'Hot Leads'!C:C,0,0)</f>
        <v>0</v>
      </c>
      <c r="F61" s="32">
        <f>_xlfn.XLOOKUP(Projects_Follow_UP[[#This Row],[Client Name]],'Hot Leads'!A:A,'Hot Leads'!F:F, ,0)</f>
        <v>0</v>
      </c>
      <c r="G61" s="2"/>
      <c r="H61" s="2"/>
      <c r="I61" s="2"/>
      <c r="J61" s="34"/>
      <c r="K61" s="4"/>
      <c r="L61" s="6"/>
      <c r="M61" s="4"/>
      <c r="N61" s="6"/>
      <c r="O61" s="44">
        <f>IFERROR(VALUE(SUBSTITUTE(TRIM(SUBSTITUTE(Projects_Follow_UP[[#This Row],[Est. value]],"SAR","")),",","")),0)</f>
        <v>0</v>
      </c>
      <c r="P61" s="18"/>
      <c r="Q61" s="56"/>
      <c r="R61" s="56" cm="1">
        <f t="array" ref="R61">_xlfn.LET(_xlpm.x,_xlfn.XLOOKUP(A61,Dashboard!$M$61:$M$72,Dashboard!$J$61:$J$72,""),IF(_xlpm.x&lt;&gt;"",_xlpm.x,M61))</f>
        <v>0</v>
      </c>
      <c r="S61" s="341" t="str" cm="1">
        <f t="array" ref="S61">_xlfn.LET(_xlpm.x,_xlfn.XLOOKUP(A61,Dashboard!$M$61:$M$72,Dashboard!$K$61:$K$72,""),_xlpm.orig,N61,IF(_xlpm.x&lt;&gt;"",_xlpm.x,IF(OR(_xlpm.orig="",_xlpm.orig=0),"",_xlpm.orig)))</f>
        <v/>
      </c>
    </row>
    <row r="62" spans="1:19" ht="12.75">
      <c r="A62" s="5" t="s">
        <v>328</v>
      </c>
      <c r="B62" s="4"/>
      <c r="C62" s="38"/>
      <c r="D62" s="32">
        <f>_xlfn.XLOOKUP(Projects_Follow_UP[[#This Row],[Client Name]],'Hot Leads'!A:A,'Hot Leads'!B:B,0,0)</f>
        <v>0</v>
      </c>
      <c r="E62" s="32">
        <f>_xlfn.XLOOKUP(Projects_Follow_UP[[#This Row],[Client Phone Number]],'Hot Leads'!B:B,'Hot Leads'!C:C,0,0)</f>
        <v>0</v>
      </c>
      <c r="F62" s="32">
        <f>_xlfn.XLOOKUP(Projects_Follow_UP[[#This Row],[Client Name]],'Hot Leads'!A:A,'Hot Leads'!F:F, ,0)</f>
        <v>0</v>
      </c>
      <c r="G62" s="2"/>
      <c r="H62" s="2"/>
      <c r="I62" s="2"/>
      <c r="J62" s="34"/>
      <c r="K62" s="4"/>
      <c r="L62" s="6"/>
      <c r="M62" s="4"/>
      <c r="N62" s="6"/>
      <c r="O62" s="44">
        <f>IFERROR(VALUE(SUBSTITUTE(TRIM(SUBSTITUTE(Projects_Follow_UP[[#This Row],[Est. value]],"SAR","")),",","")),0)</f>
        <v>0</v>
      </c>
      <c r="P62" s="18"/>
      <c r="Q62" s="56"/>
      <c r="R62" s="56" cm="1">
        <f t="array" ref="R62">_xlfn.LET(_xlpm.x,_xlfn.XLOOKUP(A62,Dashboard!$M$61:$M$72,Dashboard!$J$61:$J$72,""),IF(_xlpm.x&lt;&gt;"",_xlpm.x,M62))</f>
        <v>0</v>
      </c>
      <c r="S62" s="341" t="str" cm="1">
        <f t="array" ref="S62">_xlfn.LET(_xlpm.x,_xlfn.XLOOKUP(A62,Dashboard!$M$61:$M$72,Dashboard!$K$61:$K$72,""),_xlpm.orig,N62,IF(_xlpm.x&lt;&gt;"",_xlpm.x,IF(OR(_xlpm.orig="",_xlpm.orig=0),"",_xlpm.orig)))</f>
        <v/>
      </c>
    </row>
    <row r="63" spans="1:19" ht="12.75">
      <c r="A63" s="5" t="s">
        <v>329</v>
      </c>
      <c r="B63" s="4"/>
      <c r="C63" s="38"/>
      <c r="D63" s="32">
        <f>_xlfn.XLOOKUP(Projects_Follow_UP[[#This Row],[Client Name]],'Hot Leads'!A:A,'Hot Leads'!B:B,0,0)</f>
        <v>0</v>
      </c>
      <c r="E63" s="32">
        <f>_xlfn.XLOOKUP(Projects_Follow_UP[[#This Row],[Client Phone Number]],'Hot Leads'!B:B,'Hot Leads'!C:C,0,0)</f>
        <v>0</v>
      </c>
      <c r="F63" s="32">
        <f>_xlfn.XLOOKUP(Projects_Follow_UP[[#This Row],[Client Name]],'Hot Leads'!A:A,'Hot Leads'!F:F, ,0)</f>
        <v>0</v>
      </c>
      <c r="G63" s="2"/>
      <c r="H63" s="2"/>
      <c r="I63" s="2"/>
      <c r="J63" s="34"/>
      <c r="K63" s="4"/>
      <c r="L63" s="6"/>
      <c r="M63" s="4"/>
      <c r="N63" s="6"/>
      <c r="O63" s="44">
        <f>IFERROR(VALUE(SUBSTITUTE(TRIM(SUBSTITUTE(Projects_Follow_UP[[#This Row],[Est. value]],"SAR","")),",","")),0)</f>
        <v>0</v>
      </c>
      <c r="P63" s="18"/>
      <c r="Q63" s="56"/>
      <c r="R63" s="56" cm="1">
        <f t="array" ref="R63">_xlfn.LET(_xlpm.x,_xlfn.XLOOKUP(A63,Dashboard!$M$61:$M$72,Dashboard!$J$61:$J$72,""),IF(_xlpm.x&lt;&gt;"",_xlpm.x,M63))</f>
        <v>0</v>
      </c>
      <c r="S63" s="341" t="str" cm="1">
        <f t="array" ref="S63">_xlfn.LET(_xlpm.x,_xlfn.XLOOKUP(A63,Dashboard!$M$61:$M$72,Dashboard!$K$61:$K$72,""),_xlpm.orig,N63,IF(_xlpm.x&lt;&gt;"",_xlpm.x,IF(OR(_xlpm.orig="",_xlpm.orig=0),"",_xlpm.orig)))</f>
        <v/>
      </c>
    </row>
    <row r="64" spans="1:19" ht="12.75">
      <c r="A64" s="5" t="s">
        <v>330</v>
      </c>
      <c r="B64" s="4"/>
      <c r="C64" s="38"/>
      <c r="D64" s="32">
        <f>_xlfn.XLOOKUP(Projects_Follow_UP[[#This Row],[Client Name]],'Hot Leads'!A:A,'Hot Leads'!B:B,0,0)</f>
        <v>0</v>
      </c>
      <c r="E64" s="32">
        <f>_xlfn.XLOOKUP(Projects_Follow_UP[[#This Row],[Client Phone Number]],'Hot Leads'!B:B,'Hot Leads'!C:C,0,0)</f>
        <v>0</v>
      </c>
      <c r="F64" s="32">
        <f>_xlfn.XLOOKUP(Projects_Follow_UP[[#This Row],[Client Name]],'Hot Leads'!A:A,'Hot Leads'!F:F, ,0)</f>
        <v>0</v>
      </c>
      <c r="G64" s="2"/>
      <c r="H64" s="2"/>
      <c r="I64" s="2"/>
      <c r="J64" s="34"/>
      <c r="K64" s="4"/>
      <c r="L64" s="6"/>
      <c r="M64" s="4"/>
      <c r="N64" s="6"/>
      <c r="O64" s="44">
        <f>IFERROR(VALUE(SUBSTITUTE(TRIM(SUBSTITUTE(Projects_Follow_UP[[#This Row],[Est. value]],"SAR","")),",","")),0)</f>
        <v>0</v>
      </c>
      <c r="P64" s="18"/>
      <c r="Q64" s="56"/>
      <c r="R64" s="56" cm="1">
        <f t="array" ref="R64">_xlfn.LET(_xlpm.x,_xlfn.XLOOKUP(A64,Dashboard!$M$61:$M$72,Dashboard!$J$61:$J$72,""),IF(_xlpm.x&lt;&gt;"",_xlpm.x,M64))</f>
        <v>0</v>
      </c>
      <c r="S64" s="341" t="str" cm="1">
        <f t="array" ref="S64">_xlfn.LET(_xlpm.x,_xlfn.XLOOKUP(A64,Dashboard!$M$61:$M$72,Dashboard!$K$61:$K$72,""),_xlpm.orig,N64,IF(_xlpm.x&lt;&gt;"",_xlpm.x,IF(OR(_xlpm.orig="",_xlpm.orig=0),"",_xlpm.orig)))</f>
        <v/>
      </c>
    </row>
    <row r="65" spans="1:19" ht="12.75">
      <c r="A65" s="5" t="s">
        <v>331</v>
      </c>
      <c r="B65" s="4"/>
      <c r="C65" s="38"/>
      <c r="D65" s="32">
        <f>_xlfn.XLOOKUP(Projects_Follow_UP[[#This Row],[Client Name]],'Hot Leads'!A:A,'Hot Leads'!B:B,0,0)</f>
        <v>0</v>
      </c>
      <c r="E65" s="32">
        <f>_xlfn.XLOOKUP(Projects_Follow_UP[[#This Row],[Client Phone Number]],'Hot Leads'!B:B,'Hot Leads'!C:C,0,0)</f>
        <v>0</v>
      </c>
      <c r="F65" s="32">
        <f>_xlfn.XLOOKUP(Projects_Follow_UP[[#This Row],[Client Name]],'Hot Leads'!A:A,'Hot Leads'!F:F, ,0)</f>
        <v>0</v>
      </c>
      <c r="G65" s="2"/>
      <c r="H65" s="2"/>
      <c r="I65" s="2"/>
      <c r="J65" s="34"/>
      <c r="K65" s="4"/>
      <c r="L65" s="6"/>
      <c r="M65" s="4"/>
      <c r="N65" s="6"/>
      <c r="O65" s="44">
        <f>IFERROR(VALUE(SUBSTITUTE(TRIM(SUBSTITUTE(Projects_Follow_UP[[#This Row],[Est. value]],"SAR","")),",","")),0)</f>
        <v>0</v>
      </c>
      <c r="P65" s="18"/>
      <c r="Q65" s="56"/>
      <c r="R65" s="56" cm="1">
        <f t="array" ref="R65">_xlfn.LET(_xlpm.x,_xlfn.XLOOKUP(A65,Dashboard!$M$61:$M$72,Dashboard!$J$61:$J$72,""),IF(_xlpm.x&lt;&gt;"",_xlpm.x,M65))</f>
        <v>0</v>
      </c>
      <c r="S65" s="341" t="str" cm="1">
        <f t="array" ref="S65">_xlfn.LET(_xlpm.x,_xlfn.XLOOKUP(A65,Dashboard!$M$61:$M$72,Dashboard!$K$61:$K$72,""),_xlpm.orig,N65,IF(_xlpm.x&lt;&gt;"",_xlpm.x,IF(OR(_xlpm.orig="",_xlpm.orig=0),"",_xlpm.orig)))</f>
        <v/>
      </c>
    </row>
    <row r="66" spans="1:19" ht="12.75">
      <c r="A66" s="5" t="s">
        <v>332</v>
      </c>
      <c r="B66" s="4"/>
      <c r="C66" s="38"/>
      <c r="D66" s="32">
        <f>_xlfn.XLOOKUP(Projects_Follow_UP[[#This Row],[Client Name]],'Hot Leads'!A:A,'Hot Leads'!B:B,0,0)</f>
        <v>0</v>
      </c>
      <c r="E66" s="32">
        <f>_xlfn.XLOOKUP(Projects_Follow_UP[[#This Row],[Client Phone Number]],'Hot Leads'!B:B,'Hot Leads'!C:C,0,0)</f>
        <v>0</v>
      </c>
      <c r="F66" s="32">
        <f>_xlfn.XLOOKUP(Projects_Follow_UP[[#This Row],[Client Name]],'Hot Leads'!A:A,'Hot Leads'!F:F, ,0)</f>
        <v>0</v>
      </c>
      <c r="G66" s="2"/>
      <c r="H66" s="2"/>
      <c r="I66" s="2"/>
      <c r="J66" s="34"/>
      <c r="K66" s="4"/>
      <c r="L66" s="6"/>
      <c r="M66" s="4"/>
      <c r="N66" s="6"/>
      <c r="O66" s="44">
        <f>IFERROR(VALUE(SUBSTITUTE(TRIM(SUBSTITUTE(Projects_Follow_UP[[#This Row],[Est. value]],"SAR","")),",","")),0)</f>
        <v>0</v>
      </c>
      <c r="P66" s="18"/>
      <c r="Q66" s="56"/>
      <c r="R66" s="56" cm="1">
        <f t="array" ref="R66">_xlfn.LET(_xlpm.x,_xlfn.XLOOKUP(A66,Dashboard!$M$61:$M$72,Dashboard!$J$61:$J$72,""),IF(_xlpm.x&lt;&gt;"",_xlpm.x,M66))</f>
        <v>0</v>
      </c>
      <c r="S66" s="341" t="str" cm="1">
        <f t="array" ref="S66">_xlfn.LET(_xlpm.x,_xlfn.XLOOKUP(A66,Dashboard!$M$61:$M$72,Dashboard!$K$61:$K$72,""),_xlpm.orig,N66,IF(_xlpm.x&lt;&gt;"",_xlpm.x,IF(OR(_xlpm.orig="",_xlpm.orig=0),"",_xlpm.orig)))</f>
        <v/>
      </c>
    </row>
    <row r="67" spans="1:19" ht="12.75">
      <c r="A67" s="5" t="s">
        <v>333</v>
      </c>
      <c r="B67" s="4"/>
      <c r="C67" s="38"/>
      <c r="D67" s="32">
        <f>_xlfn.XLOOKUP(Projects_Follow_UP[[#This Row],[Client Name]],'Hot Leads'!A:A,'Hot Leads'!B:B,0,0)</f>
        <v>0</v>
      </c>
      <c r="E67" s="32">
        <f>_xlfn.XLOOKUP(Projects_Follow_UP[[#This Row],[Client Phone Number]],'Hot Leads'!B:B,'Hot Leads'!C:C,0,0)</f>
        <v>0</v>
      </c>
      <c r="F67" s="32">
        <f>_xlfn.XLOOKUP(Projects_Follow_UP[[#This Row],[Client Name]],'Hot Leads'!A:A,'Hot Leads'!F:F, ,0)</f>
        <v>0</v>
      </c>
      <c r="G67" s="2"/>
      <c r="H67" s="2"/>
      <c r="I67" s="2"/>
      <c r="J67" s="34"/>
      <c r="K67" s="4"/>
      <c r="L67" s="6"/>
      <c r="M67" s="4"/>
      <c r="N67" s="6"/>
      <c r="O67" s="44">
        <f>IFERROR(VALUE(SUBSTITUTE(TRIM(SUBSTITUTE(Projects_Follow_UP[[#This Row],[Est. value]],"SAR","")),",","")),0)</f>
        <v>0</v>
      </c>
      <c r="P67" s="18"/>
      <c r="Q67" s="56"/>
      <c r="R67" s="56" cm="1">
        <f t="array" ref="R67">_xlfn.LET(_xlpm.x,_xlfn.XLOOKUP(A67,Dashboard!$M$61:$M$72,Dashboard!$J$61:$J$72,""),IF(_xlpm.x&lt;&gt;"",_xlpm.x,M67))</f>
        <v>0</v>
      </c>
      <c r="S67" s="341" t="str" cm="1">
        <f t="array" ref="S67">_xlfn.LET(_xlpm.x,_xlfn.XLOOKUP(A67,Dashboard!$M$61:$M$72,Dashboard!$K$61:$K$72,""),_xlpm.orig,N67,IF(_xlpm.x&lt;&gt;"",_xlpm.x,IF(OR(_xlpm.orig="",_xlpm.orig=0),"",_xlpm.orig)))</f>
        <v/>
      </c>
    </row>
    <row r="68" spans="1:19" ht="12.75">
      <c r="A68" s="5" t="s">
        <v>334</v>
      </c>
      <c r="B68" s="4"/>
      <c r="C68" s="38"/>
      <c r="D68" s="32">
        <f>_xlfn.XLOOKUP(Projects_Follow_UP[[#This Row],[Client Name]],'Hot Leads'!A:A,'Hot Leads'!B:B,0,0)</f>
        <v>0</v>
      </c>
      <c r="E68" s="32">
        <f>_xlfn.XLOOKUP(Projects_Follow_UP[[#This Row],[Client Phone Number]],'Hot Leads'!B:B,'Hot Leads'!C:C,0,0)</f>
        <v>0</v>
      </c>
      <c r="F68" s="32">
        <f>_xlfn.XLOOKUP(Projects_Follow_UP[[#This Row],[Client Name]],'Hot Leads'!A:A,'Hot Leads'!F:F, ,0)</f>
        <v>0</v>
      </c>
      <c r="G68" s="2"/>
      <c r="H68" s="2"/>
      <c r="I68" s="2"/>
      <c r="J68" s="34"/>
      <c r="K68" s="4"/>
      <c r="L68" s="6"/>
      <c r="M68" s="4"/>
      <c r="N68" s="6"/>
      <c r="O68" s="44">
        <f>IFERROR(VALUE(SUBSTITUTE(TRIM(SUBSTITUTE(Projects_Follow_UP[[#This Row],[Est. value]],"SAR","")),",","")),0)</f>
        <v>0</v>
      </c>
      <c r="P68" s="18"/>
      <c r="Q68" s="56"/>
      <c r="R68" s="56" cm="1">
        <f t="array" ref="R68">_xlfn.LET(_xlpm.x,_xlfn.XLOOKUP(A68,Dashboard!$M$61:$M$72,Dashboard!$J$61:$J$72,""),IF(_xlpm.x&lt;&gt;"",_xlpm.x,M68))</f>
        <v>0</v>
      </c>
      <c r="S68" s="341" t="str" cm="1">
        <f t="array" ref="S68">_xlfn.LET(_xlpm.x,_xlfn.XLOOKUP(A68,Dashboard!$M$61:$M$72,Dashboard!$K$61:$K$72,""),_xlpm.orig,N68,IF(_xlpm.x&lt;&gt;"",_xlpm.x,IF(OR(_xlpm.orig="",_xlpm.orig=0),"",_xlpm.orig)))</f>
        <v/>
      </c>
    </row>
    <row r="69" spans="1:19" ht="12.75">
      <c r="A69" s="5" t="s">
        <v>335</v>
      </c>
      <c r="B69" s="4"/>
      <c r="C69" s="38"/>
      <c r="D69" s="32">
        <f>_xlfn.XLOOKUP(Projects_Follow_UP[[#This Row],[Client Name]],'Hot Leads'!A:A,'Hot Leads'!B:B,0,0)</f>
        <v>0</v>
      </c>
      <c r="E69" s="32">
        <f>_xlfn.XLOOKUP(Projects_Follow_UP[[#This Row],[Client Phone Number]],'Hot Leads'!B:B,'Hot Leads'!C:C,0,0)</f>
        <v>0</v>
      </c>
      <c r="F69" s="32">
        <f>_xlfn.XLOOKUP(Projects_Follow_UP[[#This Row],[Client Name]],'Hot Leads'!A:A,'Hot Leads'!F:F, ,0)</f>
        <v>0</v>
      </c>
      <c r="G69" s="2"/>
      <c r="H69" s="2"/>
      <c r="I69" s="2"/>
      <c r="J69" s="34"/>
      <c r="K69" s="4"/>
      <c r="L69" s="6"/>
      <c r="M69" s="4"/>
      <c r="N69" s="6"/>
      <c r="O69" s="44">
        <f>IFERROR(VALUE(SUBSTITUTE(TRIM(SUBSTITUTE(Projects_Follow_UP[[#This Row],[Est. value]],"SAR","")),",","")),0)</f>
        <v>0</v>
      </c>
      <c r="P69" s="18"/>
      <c r="Q69" s="56"/>
      <c r="R69" s="56" cm="1">
        <f t="array" ref="R69">_xlfn.LET(_xlpm.x,_xlfn.XLOOKUP(A69,Dashboard!$M$61:$M$72,Dashboard!$J$61:$J$72,""),IF(_xlpm.x&lt;&gt;"",_xlpm.x,M69))</f>
        <v>0</v>
      </c>
      <c r="S69" s="341" t="str" cm="1">
        <f t="array" ref="S69">_xlfn.LET(_xlpm.x,_xlfn.XLOOKUP(A69,Dashboard!$M$61:$M$72,Dashboard!$K$61:$K$72,""),_xlpm.orig,N69,IF(_xlpm.x&lt;&gt;"",_xlpm.x,IF(OR(_xlpm.orig="",_xlpm.orig=0),"",_xlpm.orig)))</f>
        <v/>
      </c>
    </row>
    <row r="70" spans="1:19" ht="12.75">
      <c r="A70" s="5" t="s">
        <v>336</v>
      </c>
      <c r="B70" s="4"/>
      <c r="C70" s="38"/>
      <c r="D70" s="32">
        <f>_xlfn.XLOOKUP(Projects_Follow_UP[[#This Row],[Client Name]],'Hot Leads'!A:A,'Hot Leads'!B:B,0,0)</f>
        <v>0</v>
      </c>
      <c r="E70" s="32">
        <f>_xlfn.XLOOKUP(Projects_Follow_UP[[#This Row],[Client Phone Number]],'Hot Leads'!B:B,'Hot Leads'!C:C,0,0)</f>
        <v>0</v>
      </c>
      <c r="F70" s="32">
        <f>_xlfn.XLOOKUP(Projects_Follow_UP[[#This Row],[Client Name]],'Hot Leads'!A:A,'Hot Leads'!F:F, ,0)</f>
        <v>0</v>
      </c>
      <c r="G70" s="2"/>
      <c r="H70" s="2"/>
      <c r="I70" s="2"/>
      <c r="J70" s="34"/>
      <c r="K70" s="4"/>
      <c r="L70" s="6"/>
      <c r="M70" s="4"/>
      <c r="N70" s="6"/>
      <c r="O70" s="44">
        <f>IFERROR(VALUE(SUBSTITUTE(TRIM(SUBSTITUTE(Projects_Follow_UP[[#This Row],[Est. value]],"SAR","")),",","")),0)</f>
        <v>0</v>
      </c>
      <c r="P70" s="18"/>
      <c r="Q70" s="56"/>
      <c r="R70" s="56" cm="1">
        <f t="array" ref="R70">_xlfn.LET(_xlpm.x,_xlfn.XLOOKUP(A70,Dashboard!$M$61:$M$72,Dashboard!$J$61:$J$72,""),IF(_xlpm.x&lt;&gt;"",_xlpm.x,M70))</f>
        <v>0</v>
      </c>
      <c r="S70" s="341" t="str" cm="1">
        <f t="array" ref="S70">_xlfn.LET(_xlpm.x,_xlfn.XLOOKUP(A70,Dashboard!$M$61:$M$72,Dashboard!$K$61:$K$72,""),_xlpm.orig,N70,IF(_xlpm.x&lt;&gt;"",_xlpm.x,IF(OR(_xlpm.orig="",_xlpm.orig=0),"",_xlpm.orig)))</f>
        <v/>
      </c>
    </row>
    <row r="71" spans="1:19" ht="12.75">
      <c r="A71" s="5" t="s">
        <v>337</v>
      </c>
      <c r="B71" s="4"/>
      <c r="C71" s="38"/>
      <c r="D71" s="32">
        <f>_xlfn.XLOOKUP(Projects_Follow_UP[[#This Row],[Client Name]],'Hot Leads'!A:A,'Hot Leads'!B:B,0,0)</f>
        <v>0</v>
      </c>
      <c r="E71" s="32">
        <f>_xlfn.XLOOKUP(Projects_Follow_UP[[#This Row],[Client Phone Number]],'Hot Leads'!B:B,'Hot Leads'!C:C,0,0)</f>
        <v>0</v>
      </c>
      <c r="F71" s="32">
        <f>_xlfn.XLOOKUP(Projects_Follow_UP[[#This Row],[Client Name]],'Hot Leads'!A:A,'Hot Leads'!F:F, ,0)</f>
        <v>0</v>
      </c>
      <c r="G71" s="2"/>
      <c r="H71" s="2"/>
      <c r="I71" s="2"/>
      <c r="J71" s="34"/>
      <c r="K71" s="4"/>
      <c r="L71" s="6"/>
      <c r="M71" s="4"/>
      <c r="N71" s="6"/>
      <c r="O71" s="44">
        <f>IFERROR(VALUE(SUBSTITUTE(TRIM(SUBSTITUTE(Projects_Follow_UP[[#This Row],[Est. value]],"SAR","")),",","")),0)</f>
        <v>0</v>
      </c>
      <c r="P71" s="18"/>
      <c r="Q71" s="56"/>
      <c r="R71" s="56" cm="1">
        <f t="array" ref="R71">_xlfn.LET(_xlpm.x,_xlfn.XLOOKUP(A71,Dashboard!$M$61:$M$72,Dashboard!$J$61:$J$72,""),IF(_xlpm.x&lt;&gt;"",_xlpm.x,M71))</f>
        <v>0</v>
      </c>
      <c r="S71" s="341" t="str" cm="1">
        <f t="array" ref="S71">_xlfn.LET(_xlpm.x,_xlfn.XLOOKUP(A71,Dashboard!$M$61:$M$72,Dashboard!$K$61:$K$72,""),_xlpm.orig,N71,IF(_xlpm.x&lt;&gt;"",_xlpm.x,IF(OR(_xlpm.orig="",_xlpm.orig=0),"",_xlpm.orig)))</f>
        <v/>
      </c>
    </row>
    <row r="72" spans="1:19" ht="12.75">
      <c r="A72" s="5" t="s">
        <v>338</v>
      </c>
      <c r="B72" s="4"/>
      <c r="C72" s="38"/>
      <c r="D72" s="32">
        <f>_xlfn.XLOOKUP(Projects_Follow_UP[[#This Row],[Client Name]],'Hot Leads'!A:A,'Hot Leads'!B:B,0,0)</f>
        <v>0</v>
      </c>
      <c r="E72" s="32">
        <f>_xlfn.XLOOKUP(Projects_Follow_UP[[#This Row],[Client Phone Number]],'Hot Leads'!B:B,'Hot Leads'!C:C,0,0)</f>
        <v>0</v>
      </c>
      <c r="F72" s="32">
        <f>_xlfn.XLOOKUP(Projects_Follow_UP[[#This Row],[Client Name]],'Hot Leads'!A:A,'Hot Leads'!F:F, ,0)</f>
        <v>0</v>
      </c>
      <c r="G72" s="2"/>
      <c r="H72" s="2"/>
      <c r="I72" s="2"/>
      <c r="J72" s="34"/>
      <c r="K72" s="4"/>
      <c r="L72" s="6"/>
      <c r="M72" s="4"/>
      <c r="N72" s="6"/>
      <c r="O72" s="44">
        <f>IFERROR(VALUE(SUBSTITUTE(TRIM(SUBSTITUTE(Projects_Follow_UP[[#This Row],[Est. value]],"SAR","")),",","")),0)</f>
        <v>0</v>
      </c>
      <c r="P72" s="18"/>
      <c r="Q72" s="56"/>
      <c r="R72" s="56" cm="1">
        <f t="array" ref="R72">_xlfn.LET(_xlpm.x,_xlfn.XLOOKUP(A72,Dashboard!$M$61:$M$72,Dashboard!$J$61:$J$72,""),IF(_xlpm.x&lt;&gt;"",_xlpm.x,M72))</f>
        <v>0</v>
      </c>
      <c r="S72" s="341" t="str" cm="1">
        <f t="array" ref="S72">_xlfn.LET(_xlpm.x,_xlfn.XLOOKUP(A72,Dashboard!$M$61:$M$72,Dashboard!$K$61:$K$72,""),_xlpm.orig,N72,IF(_xlpm.x&lt;&gt;"",_xlpm.x,IF(OR(_xlpm.orig="",_xlpm.orig=0),"",_xlpm.orig)))</f>
        <v/>
      </c>
    </row>
    <row r="73" spans="1:19" ht="12.75">
      <c r="A73" s="5" t="s">
        <v>339</v>
      </c>
      <c r="B73" s="4"/>
      <c r="C73" s="38"/>
      <c r="D73" s="32">
        <f>_xlfn.XLOOKUP(Projects_Follow_UP[[#This Row],[Client Name]],'Hot Leads'!A:A,'Hot Leads'!B:B,0,0)</f>
        <v>0</v>
      </c>
      <c r="E73" s="32">
        <f>_xlfn.XLOOKUP(Projects_Follow_UP[[#This Row],[Client Phone Number]],'Hot Leads'!B:B,'Hot Leads'!C:C,0,0)</f>
        <v>0</v>
      </c>
      <c r="F73" s="32">
        <f>_xlfn.XLOOKUP(Projects_Follow_UP[[#This Row],[Client Name]],'Hot Leads'!A:A,'Hot Leads'!F:F, ,0)</f>
        <v>0</v>
      </c>
      <c r="G73" s="2"/>
      <c r="H73" s="2"/>
      <c r="I73" s="2"/>
      <c r="J73" s="34"/>
      <c r="K73" s="4"/>
      <c r="L73" s="6"/>
      <c r="M73" s="4"/>
      <c r="N73" s="6"/>
      <c r="O73" s="44">
        <f>IFERROR(VALUE(SUBSTITUTE(TRIM(SUBSTITUTE(Projects_Follow_UP[[#This Row],[Est. value]],"SAR","")),",","")),0)</f>
        <v>0</v>
      </c>
      <c r="P73" s="18"/>
      <c r="Q73" s="56"/>
      <c r="R73" s="56" cm="1">
        <f t="array" ref="R73">_xlfn.LET(_xlpm.x,_xlfn.XLOOKUP(A73,Dashboard!$M$61:$M$72,Dashboard!$J$61:$J$72,""),IF(_xlpm.x&lt;&gt;"",_xlpm.x,M73))</f>
        <v>0</v>
      </c>
      <c r="S73" s="341" t="str" cm="1">
        <f t="array" ref="S73">_xlfn.LET(_xlpm.x,_xlfn.XLOOKUP(A73,Dashboard!$M$61:$M$72,Dashboard!$K$61:$K$72,""),_xlpm.orig,N73,IF(_xlpm.x&lt;&gt;"",_xlpm.x,IF(OR(_xlpm.orig="",_xlpm.orig=0),"",_xlpm.orig)))</f>
        <v/>
      </c>
    </row>
    <row r="74" spans="1:19" ht="12.75">
      <c r="A74" s="5" t="s">
        <v>340</v>
      </c>
      <c r="B74" s="4"/>
      <c r="C74" s="38"/>
      <c r="D74" s="32">
        <f>_xlfn.XLOOKUP(Projects_Follow_UP[[#This Row],[Client Name]],'Hot Leads'!A:A,'Hot Leads'!B:B,0,0)</f>
        <v>0</v>
      </c>
      <c r="E74" s="32">
        <f>_xlfn.XLOOKUP(Projects_Follow_UP[[#This Row],[Client Phone Number]],'Hot Leads'!B:B,'Hot Leads'!C:C,0,0)</f>
        <v>0</v>
      </c>
      <c r="F74" s="32">
        <f>_xlfn.XLOOKUP(Projects_Follow_UP[[#This Row],[Client Name]],'Hot Leads'!A:A,'Hot Leads'!F:F, ,0)</f>
        <v>0</v>
      </c>
      <c r="G74" s="2"/>
      <c r="H74" s="2"/>
      <c r="I74" s="2"/>
      <c r="J74" s="34"/>
      <c r="K74" s="4"/>
      <c r="L74" s="6"/>
      <c r="M74" s="4"/>
      <c r="N74" s="6"/>
      <c r="O74" s="44">
        <f>IFERROR(VALUE(SUBSTITUTE(TRIM(SUBSTITUTE(Projects_Follow_UP[[#This Row],[Est. value]],"SAR","")),",","")),0)</f>
        <v>0</v>
      </c>
      <c r="P74" s="18"/>
      <c r="Q74" s="56"/>
      <c r="R74" s="56" cm="1">
        <f t="array" ref="R74">_xlfn.LET(_xlpm.x,_xlfn.XLOOKUP(A74,Dashboard!$M$61:$M$72,Dashboard!$J$61:$J$72,""),IF(_xlpm.x&lt;&gt;"",_xlpm.x,M74))</f>
        <v>0</v>
      </c>
      <c r="S74" s="341" t="str" cm="1">
        <f t="array" ref="S74">_xlfn.LET(_xlpm.x,_xlfn.XLOOKUP(A74,Dashboard!$M$61:$M$72,Dashboard!$K$61:$K$72,""),_xlpm.orig,N74,IF(_xlpm.x&lt;&gt;"",_xlpm.x,IF(OR(_xlpm.orig="",_xlpm.orig=0),"",_xlpm.orig)))</f>
        <v/>
      </c>
    </row>
    <row r="75" spans="1:19" ht="12.75">
      <c r="A75" s="5" t="s">
        <v>341</v>
      </c>
      <c r="B75" s="4"/>
      <c r="C75" s="38"/>
      <c r="D75" s="32">
        <f>_xlfn.XLOOKUP(Projects_Follow_UP[[#This Row],[Client Name]],'Hot Leads'!A:A,'Hot Leads'!B:B,0,0)</f>
        <v>0</v>
      </c>
      <c r="E75" s="32">
        <f>_xlfn.XLOOKUP(Projects_Follow_UP[[#This Row],[Client Phone Number]],'Hot Leads'!B:B,'Hot Leads'!C:C,0,0)</f>
        <v>0</v>
      </c>
      <c r="F75" s="32">
        <f>_xlfn.XLOOKUP(Projects_Follow_UP[[#This Row],[Client Name]],'Hot Leads'!A:A,'Hot Leads'!F:F, ,0)</f>
        <v>0</v>
      </c>
      <c r="G75" s="2"/>
      <c r="H75" s="2"/>
      <c r="I75" s="2"/>
      <c r="J75" s="34"/>
      <c r="K75" s="4"/>
      <c r="L75" s="6"/>
      <c r="M75" s="4"/>
      <c r="N75" s="6"/>
      <c r="O75" s="44">
        <f>IFERROR(VALUE(SUBSTITUTE(TRIM(SUBSTITUTE(Projects_Follow_UP[[#This Row],[Est. value]],"SAR","")),",","")),0)</f>
        <v>0</v>
      </c>
      <c r="P75" s="18"/>
      <c r="Q75" s="56"/>
      <c r="R75" s="56" cm="1">
        <f t="array" ref="R75">_xlfn.LET(_xlpm.x,_xlfn.XLOOKUP(A75,Dashboard!$M$61:$M$72,Dashboard!$J$61:$J$72,""),IF(_xlpm.x&lt;&gt;"",_xlpm.x,M75))</f>
        <v>0</v>
      </c>
      <c r="S75" s="341" t="str" cm="1">
        <f t="array" ref="S75">_xlfn.LET(_xlpm.x,_xlfn.XLOOKUP(A75,Dashboard!$M$61:$M$72,Dashboard!$K$61:$K$72,""),_xlpm.orig,N75,IF(_xlpm.x&lt;&gt;"",_xlpm.x,IF(OR(_xlpm.orig="",_xlpm.orig=0),"",_xlpm.orig)))</f>
        <v/>
      </c>
    </row>
    <row r="76" spans="1:19" ht="12.75">
      <c r="A76" s="5" t="s">
        <v>342</v>
      </c>
      <c r="B76" s="4"/>
      <c r="C76" s="38"/>
      <c r="D76" s="32">
        <f>_xlfn.XLOOKUP(Projects_Follow_UP[[#This Row],[Client Name]],'Hot Leads'!A:A,'Hot Leads'!B:B,0,0)</f>
        <v>0</v>
      </c>
      <c r="E76" s="32">
        <f>_xlfn.XLOOKUP(Projects_Follow_UP[[#This Row],[Client Phone Number]],'Hot Leads'!B:B,'Hot Leads'!C:C,0,0)</f>
        <v>0</v>
      </c>
      <c r="F76" s="32">
        <f>_xlfn.XLOOKUP(Projects_Follow_UP[[#This Row],[Client Name]],'Hot Leads'!A:A,'Hot Leads'!F:F, ,0)</f>
        <v>0</v>
      </c>
      <c r="G76" s="2"/>
      <c r="H76" s="2"/>
      <c r="I76" s="2"/>
      <c r="J76" s="34"/>
      <c r="K76" s="4"/>
      <c r="L76" s="6"/>
      <c r="M76" s="4"/>
      <c r="N76" s="6"/>
      <c r="O76" s="44">
        <f>IFERROR(VALUE(SUBSTITUTE(TRIM(SUBSTITUTE(Projects_Follow_UP[[#This Row],[Est. value]],"SAR","")),",","")),0)</f>
        <v>0</v>
      </c>
      <c r="P76" s="18"/>
      <c r="Q76" s="56"/>
      <c r="R76" s="56" cm="1">
        <f t="array" ref="R76">_xlfn.LET(_xlpm.x,_xlfn.XLOOKUP(A76,Dashboard!$M$61:$M$72,Dashboard!$J$61:$J$72,""),IF(_xlpm.x&lt;&gt;"",_xlpm.x,M76))</f>
        <v>0</v>
      </c>
      <c r="S76" s="341" t="str" cm="1">
        <f t="array" ref="S76">_xlfn.LET(_xlpm.x,_xlfn.XLOOKUP(A76,Dashboard!$M$61:$M$72,Dashboard!$K$61:$K$72,""),_xlpm.orig,N76,IF(_xlpm.x&lt;&gt;"",_xlpm.x,IF(OR(_xlpm.orig="",_xlpm.orig=0),"",_xlpm.orig)))</f>
        <v/>
      </c>
    </row>
    <row r="77" spans="1:19" ht="12.75">
      <c r="A77" s="5" t="s">
        <v>343</v>
      </c>
      <c r="B77" s="4"/>
      <c r="C77" s="38"/>
      <c r="D77" s="32">
        <f>_xlfn.XLOOKUP(Projects_Follow_UP[[#This Row],[Client Name]],'Hot Leads'!A:A,'Hot Leads'!B:B,0,0)</f>
        <v>0</v>
      </c>
      <c r="E77" s="32">
        <f>_xlfn.XLOOKUP(Projects_Follow_UP[[#This Row],[Client Phone Number]],'Hot Leads'!B:B,'Hot Leads'!C:C,0,0)</f>
        <v>0</v>
      </c>
      <c r="F77" s="32">
        <f>_xlfn.XLOOKUP(Projects_Follow_UP[[#This Row],[Client Name]],'Hot Leads'!A:A,'Hot Leads'!F:F, ,0)</f>
        <v>0</v>
      </c>
      <c r="G77" s="2"/>
      <c r="H77" s="2"/>
      <c r="I77" s="2"/>
      <c r="J77" s="34"/>
      <c r="K77" s="4"/>
      <c r="L77" s="6"/>
      <c r="M77" s="4"/>
      <c r="N77" s="6"/>
      <c r="O77" s="44">
        <f>IFERROR(VALUE(SUBSTITUTE(TRIM(SUBSTITUTE(Projects_Follow_UP[[#This Row],[Est. value]],"SAR","")),",","")),0)</f>
        <v>0</v>
      </c>
      <c r="P77" s="18"/>
      <c r="Q77" s="56"/>
      <c r="R77" s="56" cm="1">
        <f t="array" ref="R77">_xlfn.LET(_xlpm.x,_xlfn.XLOOKUP(A77,Dashboard!$M$61:$M$72,Dashboard!$J$61:$J$72,""),IF(_xlpm.x&lt;&gt;"",_xlpm.x,M77))</f>
        <v>0</v>
      </c>
      <c r="S77" s="341" t="str" cm="1">
        <f t="array" ref="S77">_xlfn.LET(_xlpm.x,_xlfn.XLOOKUP(A77,Dashboard!$M$61:$M$72,Dashboard!$K$61:$K$72,""),_xlpm.orig,N77,IF(_xlpm.x&lt;&gt;"",_xlpm.x,IF(OR(_xlpm.orig="",_xlpm.orig=0),"",_xlpm.orig)))</f>
        <v/>
      </c>
    </row>
    <row r="78" spans="1:19" ht="12.75">
      <c r="A78" s="5" t="s">
        <v>344</v>
      </c>
      <c r="B78" s="4"/>
      <c r="C78" s="38"/>
      <c r="D78" s="32">
        <f>_xlfn.XLOOKUP(Projects_Follow_UP[[#This Row],[Client Name]],'Hot Leads'!A:A,'Hot Leads'!B:B,0,0)</f>
        <v>0</v>
      </c>
      <c r="E78" s="32">
        <f>_xlfn.XLOOKUP(Projects_Follow_UP[[#This Row],[Client Phone Number]],'Hot Leads'!B:B,'Hot Leads'!C:C,0,0)</f>
        <v>0</v>
      </c>
      <c r="F78" s="32">
        <f>_xlfn.XLOOKUP(Projects_Follow_UP[[#This Row],[Client Name]],'Hot Leads'!A:A,'Hot Leads'!F:F, ,0)</f>
        <v>0</v>
      </c>
      <c r="G78" s="2"/>
      <c r="H78" s="2"/>
      <c r="I78" s="2"/>
      <c r="J78" s="34"/>
      <c r="K78" s="4"/>
      <c r="L78" s="6"/>
      <c r="M78" s="4"/>
      <c r="N78" s="6"/>
      <c r="O78" s="44">
        <f>IFERROR(VALUE(SUBSTITUTE(TRIM(SUBSTITUTE(Projects_Follow_UP[[#This Row],[Est. value]],"SAR","")),",","")),0)</f>
        <v>0</v>
      </c>
      <c r="P78" s="18"/>
      <c r="Q78" s="56"/>
      <c r="R78" s="56" cm="1">
        <f t="array" ref="R78">_xlfn.LET(_xlpm.x,_xlfn.XLOOKUP(A78,Dashboard!$M$61:$M$72,Dashboard!$J$61:$J$72,""),IF(_xlpm.x&lt;&gt;"",_xlpm.x,M78))</f>
        <v>0</v>
      </c>
      <c r="S78" s="341" t="str" cm="1">
        <f t="array" ref="S78">_xlfn.LET(_xlpm.x,_xlfn.XLOOKUP(A78,Dashboard!$M$61:$M$72,Dashboard!$K$61:$K$72,""),_xlpm.orig,N78,IF(_xlpm.x&lt;&gt;"",_xlpm.x,IF(OR(_xlpm.orig="",_xlpm.orig=0),"",_xlpm.orig)))</f>
        <v/>
      </c>
    </row>
    <row r="79" spans="1:19" ht="12.75">
      <c r="A79" s="5" t="s">
        <v>345</v>
      </c>
      <c r="B79" s="4"/>
      <c r="C79" s="38"/>
      <c r="D79" s="32">
        <f>_xlfn.XLOOKUP(Projects_Follow_UP[[#This Row],[Client Name]],'Hot Leads'!A:A,'Hot Leads'!B:B,0,0)</f>
        <v>0</v>
      </c>
      <c r="E79" s="32">
        <f>_xlfn.XLOOKUP(Projects_Follow_UP[[#This Row],[Client Phone Number]],'Hot Leads'!B:B,'Hot Leads'!C:C,0,0)</f>
        <v>0</v>
      </c>
      <c r="F79" s="32">
        <f>_xlfn.XLOOKUP(Projects_Follow_UP[[#This Row],[Client Name]],'Hot Leads'!A:A,'Hot Leads'!F:F, ,0)</f>
        <v>0</v>
      </c>
      <c r="G79" s="2"/>
      <c r="H79" s="2"/>
      <c r="I79" s="2"/>
      <c r="J79" s="34"/>
      <c r="K79" s="4"/>
      <c r="L79" s="6"/>
      <c r="M79" s="4"/>
      <c r="N79" s="6"/>
      <c r="O79" s="44">
        <f>IFERROR(VALUE(SUBSTITUTE(TRIM(SUBSTITUTE(Projects_Follow_UP[[#This Row],[Est. value]],"SAR","")),",","")),0)</f>
        <v>0</v>
      </c>
      <c r="P79" s="18"/>
      <c r="Q79" s="56"/>
      <c r="R79" s="56" cm="1">
        <f t="array" ref="R79">_xlfn.LET(_xlpm.x,_xlfn.XLOOKUP(A79,Dashboard!$M$61:$M$72,Dashboard!$J$61:$J$72,""),IF(_xlpm.x&lt;&gt;"",_xlpm.x,M79))</f>
        <v>0</v>
      </c>
      <c r="S79" s="341" t="str" cm="1">
        <f t="array" ref="S79">_xlfn.LET(_xlpm.x,_xlfn.XLOOKUP(A79,Dashboard!$M$61:$M$72,Dashboard!$K$61:$K$72,""),_xlpm.orig,N79,IF(_xlpm.x&lt;&gt;"",_xlpm.x,IF(OR(_xlpm.orig="",_xlpm.orig=0),"",_xlpm.orig)))</f>
        <v/>
      </c>
    </row>
    <row r="80" spans="1:19" ht="12.75">
      <c r="A80" s="5" t="s">
        <v>346</v>
      </c>
      <c r="B80" s="4"/>
      <c r="C80" s="38"/>
      <c r="D80" s="32">
        <f>_xlfn.XLOOKUP(Projects_Follow_UP[[#This Row],[Client Name]],'Hot Leads'!A:A,'Hot Leads'!B:B,0,0)</f>
        <v>0</v>
      </c>
      <c r="E80" s="32">
        <f>_xlfn.XLOOKUP(Projects_Follow_UP[[#This Row],[Client Phone Number]],'Hot Leads'!B:B,'Hot Leads'!C:C,0,0)</f>
        <v>0</v>
      </c>
      <c r="F80" s="32">
        <f>_xlfn.XLOOKUP(Projects_Follow_UP[[#This Row],[Client Name]],'Hot Leads'!A:A,'Hot Leads'!F:F, ,0)</f>
        <v>0</v>
      </c>
      <c r="G80" s="2"/>
      <c r="H80" s="2"/>
      <c r="I80" s="2"/>
      <c r="J80" s="34"/>
      <c r="K80" s="4"/>
      <c r="L80" s="6"/>
      <c r="M80" s="4"/>
      <c r="N80" s="6"/>
      <c r="O80" s="44">
        <f>IFERROR(VALUE(SUBSTITUTE(TRIM(SUBSTITUTE(Projects_Follow_UP[[#This Row],[Est. value]],"SAR","")),",","")),0)</f>
        <v>0</v>
      </c>
      <c r="P80" s="18"/>
      <c r="Q80" s="56"/>
      <c r="R80" s="56" cm="1">
        <f t="array" ref="R80">_xlfn.LET(_xlpm.x,_xlfn.XLOOKUP(A80,Dashboard!$M$61:$M$72,Dashboard!$J$61:$J$72,""),IF(_xlpm.x&lt;&gt;"",_xlpm.x,M80))</f>
        <v>0</v>
      </c>
      <c r="S80" s="341" t="str" cm="1">
        <f t="array" ref="S80">_xlfn.LET(_xlpm.x,_xlfn.XLOOKUP(A80,Dashboard!$M$61:$M$72,Dashboard!$K$61:$K$72,""),_xlpm.orig,N80,IF(_xlpm.x&lt;&gt;"",_xlpm.x,IF(OR(_xlpm.orig="",_xlpm.orig=0),"",_xlpm.orig)))</f>
        <v/>
      </c>
    </row>
    <row r="81" spans="1:19" ht="12.75">
      <c r="A81" s="5" t="s">
        <v>347</v>
      </c>
      <c r="B81" s="4"/>
      <c r="C81" s="38"/>
      <c r="D81" s="32">
        <f>_xlfn.XLOOKUP(Projects_Follow_UP[[#This Row],[Client Name]],'Hot Leads'!A:A,'Hot Leads'!B:B,0,0)</f>
        <v>0</v>
      </c>
      <c r="E81" s="32">
        <f>_xlfn.XLOOKUP(Projects_Follow_UP[[#This Row],[Client Phone Number]],'Hot Leads'!B:B,'Hot Leads'!C:C,0,0)</f>
        <v>0</v>
      </c>
      <c r="F81" s="32">
        <f>_xlfn.XLOOKUP(Projects_Follow_UP[[#This Row],[Client Name]],'Hot Leads'!A:A,'Hot Leads'!F:F, ,0)</f>
        <v>0</v>
      </c>
      <c r="G81" s="2"/>
      <c r="H81" s="2"/>
      <c r="I81" s="2"/>
      <c r="J81" s="34"/>
      <c r="K81" s="4"/>
      <c r="L81" s="6"/>
      <c r="M81" s="4"/>
      <c r="N81" s="6"/>
      <c r="O81" s="44">
        <f>IFERROR(VALUE(SUBSTITUTE(TRIM(SUBSTITUTE(Projects_Follow_UP[[#This Row],[Est. value]],"SAR","")),",","")),0)</f>
        <v>0</v>
      </c>
      <c r="P81" s="18"/>
      <c r="Q81" s="56"/>
      <c r="R81" s="56" cm="1">
        <f t="array" ref="R81">_xlfn.LET(_xlpm.x,_xlfn.XLOOKUP(A81,Dashboard!$M$61:$M$72,Dashboard!$J$61:$J$72,""),IF(_xlpm.x&lt;&gt;"",_xlpm.x,M81))</f>
        <v>0</v>
      </c>
      <c r="S81" s="341" t="str" cm="1">
        <f t="array" ref="S81">_xlfn.LET(_xlpm.x,_xlfn.XLOOKUP(A81,Dashboard!$M$61:$M$72,Dashboard!$K$61:$K$72,""),_xlpm.orig,N81,IF(_xlpm.x&lt;&gt;"",_xlpm.x,IF(OR(_xlpm.orig="",_xlpm.orig=0),"",_xlpm.orig)))</f>
        <v/>
      </c>
    </row>
    <row r="82" spans="1:19" ht="12.75">
      <c r="A82" s="5" t="s">
        <v>348</v>
      </c>
      <c r="B82" s="4"/>
      <c r="C82" s="38"/>
      <c r="D82" s="32">
        <f>_xlfn.XLOOKUP(Projects_Follow_UP[[#This Row],[Client Name]],'Hot Leads'!A:A,'Hot Leads'!B:B,0,0)</f>
        <v>0</v>
      </c>
      <c r="E82" s="32">
        <f>_xlfn.XLOOKUP(Projects_Follow_UP[[#This Row],[Client Phone Number]],'Hot Leads'!B:B,'Hot Leads'!C:C,0,0)</f>
        <v>0</v>
      </c>
      <c r="F82" s="32">
        <f>_xlfn.XLOOKUP(Projects_Follow_UP[[#This Row],[Client Name]],'Hot Leads'!A:A,'Hot Leads'!F:F, ,0)</f>
        <v>0</v>
      </c>
      <c r="G82" s="2"/>
      <c r="H82" s="2"/>
      <c r="I82" s="2"/>
      <c r="J82" s="34"/>
      <c r="K82" s="4"/>
      <c r="L82" s="6"/>
      <c r="M82" s="4"/>
      <c r="N82" s="6"/>
      <c r="O82" s="44">
        <f>IFERROR(VALUE(SUBSTITUTE(TRIM(SUBSTITUTE(Projects_Follow_UP[[#This Row],[Est. value]],"SAR","")),",","")),0)</f>
        <v>0</v>
      </c>
      <c r="P82" s="18"/>
      <c r="Q82" s="56"/>
      <c r="R82" s="56" cm="1">
        <f t="array" ref="R82">_xlfn.LET(_xlpm.x,_xlfn.XLOOKUP(A82,Dashboard!$M$61:$M$72,Dashboard!$J$61:$J$72,""),IF(_xlpm.x&lt;&gt;"",_xlpm.x,M82))</f>
        <v>0</v>
      </c>
      <c r="S82" s="341" t="str" cm="1">
        <f t="array" ref="S82">_xlfn.LET(_xlpm.x,_xlfn.XLOOKUP(A82,Dashboard!$M$61:$M$72,Dashboard!$K$61:$K$72,""),_xlpm.orig,N82,IF(_xlpm.x&lt;&gt;"",_xlpm.x,IF(OR(_xlpm.orig="",_xlpm.orig=0),"",_xlpm.orig)))</f>
        <v/>
      </c>
    </row>
    <row r="83" spans="1:19" ht="12.75">
      <c r="A83" s="5" t="s">
        <v>349</v>
      </c>
      <c r="B83" s="4"/>
      <c r="C83" s="38"/>
      <c r="D83" s="32">
        <f>_xlfn.XLOOKUP(Projects_Follow_UP[[#This Row],[Client Name]],'Hot Leads'!A:A,'Hot Leads'!B:B,0,0)</f>
        <v>0</v>
      </c>
      <c r="E83" s="32">
        <f>_xlfn.XLOOKUP(Projects_Follow_UP[[#This Row],[Client Phone Number]],'Hot Leads'!B:B,'Hot Leads'!C:C,0,0)</f>
        <v>0</v>
      </c>
      <c r="F83" s="32">
        <f>_xlfn.XLOOKUP(Projects_Follow_UP[[#This Row],[Client Name]],'Hot Leads'!A:A,'Hot Leads'!F:F, ,0)</f>
        <v>0</v>
      </c>
      <c r="G83" s="2"/>
      <c r="H83" s="2"/>
      <c r="I83" s="2"/>
      <c r="J83" s="34"/>
      <c r="K83" s="4"/>
      <c r="L83" s="6"/>
      <c r="M83" s="4"/>
      <c r="N83" s="6"/>
      <c r="O83" s="44">
        <f>IFERROR(VALUE(SUBSTITUTE(TRIM(SUBSTITUTE(Projects_Follow_UP[[#This Row],[Est. value]],"SAR","")),",","")),0)</f>
        <v>0</v>
      </c>
      <c r="P83" s="18"/>
      <c r="Q83" s="56"/>
      <c r="R83" s="56" cm="1">
        <f t="array" ref="R83">_xlfn.LET(_xlpm.x,_xlfn.XLOOKUP(A83,Dashboard!$M$61:$M$72,Dashboard!$J$61:$J$72,""),IF(_xlpm.x&lt;&gt;"",_xlpm.x,M83))</f>
        <v>0</v>
      </c>
      <c r="S83" s="341" t="str" cm="1">
        <f t="array" ref="S83">_xlfn.LET(_xlpm.x,_xlfn.XLOOKUP(A83,Dashboard!$M$61:$M$72,Dashboard!$K$61:$K$72,""),_xlpm.orig,N83,IF(_xlpm.x&lt;&gt;"",_xlpm.x,IF(OR(_xlpm.orig="",_xlpm.orig=0),"",_xlpm.orig)))</f>
        <v/>
      </c>
    </row>
    <row r="84" spans="1:19" ht="12.75">
      <c r="A84" s="5" t="s">
        <v>350</v>
      </c>
      <c r="B84" s="4"/>
      <c r="C84" s="38"/>
      <c r="D84" s="32">
        <f>_xlfn.XLOOKUP(Projects_Follow_UP[[#This Row],[Client Name]],'Hot Leads'!A:A,'Hot Leads'!B:B,0,0)</f>
        <v>0</v>
      </c>
      <c r="E84" s="32">
        <f>_xlfn.XLOOKUP(Projects_Follow_UP[[#This Row],[Client Phone Number]],'Hot Leads'!B:B,'Hot Leads'!C:C,0,0)</f>
        <v>0</v>
      </c>
      <c r="F84" s="32">
        <f>_xlfn.XLOOKUP(Projects_Follow_UP[[#This Row],[Client Name]],'Hot Leads'!A:A,'Hot Leads'!F:F, ,0)</f>
        <v>0</v>
      </c>
      <c r="G84" s="2"/>
      <c r="H84" s="2"/>
      <c r="I84" s="2"/>
      <c r="J84" s="34"/>
      <c r="K84" s="4"/>
      <c r="L84" s="6"/>
      <c r="M84" s="4"/>
      <c r="N84" s="6"/>
      <c r="O84" s="44">
        <f>IFERROR(VALUE(SUBSTITUTE(TRIM(SUBSTITUTE(Projects_Follow_UP[[#This Row],[Est. value]],"SAR","")),",","")),0)</f>
        <v>0</v>
      </c>
      <c r="P84" s="18"/>
      <c r="Q84" s="56"/>
      <c r="R84" s="56" cm="1">
        <f t="array" ref="R84">_xlfn.LET(_xlpm.x,_xlfn.XLOOKUP(A84,Dashboard!$M$61:$M$72,Dashboard!$J$61:$J$72,""),IF(_xlpm.x&lt;&gt;"",_xlpm.x,M84))</f>
        <v>0</v>
      </c>
      <c r="S84" s="341" t="str" cm="1">
        <f t="array" ref="S84">_xlfn.LET(_xlpm.x,_xlfn.XLOOKUP(A84,Dashboard!$M$61:$M$72,Dashboard!$K$61:$K$72,""),_xlpm.orig,N84,IF(_xlpm.x&lt;&gt;"",_xlpm.x,IF(OR(_xlpm.orig="",_xlpm.orig=0),"",_xlpm.orig)))</f>
        <v/>
      </c>
    </row>
    <row r="85" spans="1:19" ht="12.75">
      <c r="A85" s="5" t="s">
        <v>351</v>
      </c>
      <c r="B85" s="4"/>
      <c r="C85" s="38"/>
      <c r="D85" s="32">
        <f>_xlfn.XLOOKUP(Projects_Follow_UP[[#This Row],[Client Name]],'Hot Leads'!A:A,'Hot Leads'!B:B,0,0)</f>
        <v>0</v>
      </c>
      <c r="E85" s="32">
        <f>_xlfn.XLOOKUP(Projects_Follow_UP[[#This Row],[Client Phone Number]],'Hot Leads'!B:B,'Hot Leads'!C:C,0,0)</f>
        <v>0</v>
      </c>
      <c r="F85" s="32">
        <f>_xlfn.XLOOKUP(Projects_Follow_UP[[#This Row],[Client Name]],'Hot Leads'!A:A,'Hot Leads'!F:F, ,0)</f>
        <v>0</v>
      </c>
      <c r="G85" s="2"/>
      <c r="H85" s="2"/>
      <c r="I85" s="2"/>
      <c r="J85" s="34"/>
      <c r="K85" s="4"/>
      <c r="L85" s="6"/>
      <c r="M85" s="4"/>
      <c r="N85" s="6"/>
      <c r="O85" s="44">
        <f>IFERROR(VALUE(SUBSTITUTE(TRIM(SUBSTITUTE(Projects_Follow_UP[[#This Row],[Est. value]],"SAR","")),",","")),0)</f>
        <v>0</v>
      </c>
      <c r="P85" s="18"/>
      <c r="Q85" s="56"/>
      <c r="R85" s="56" cm="1">
        <f t="array" ref="R85">_xlfn.LET(_xlpm.x,_xlfn.XLOOKUP(A85,Dashboard!$M$61:$M$72,Dashboard!$J$61:$J$72,""),IF(_xlpm.x&lt;&gt;"",_xlpm.x,M85))</f>
        <v>0</v>
      </c>
      <c r="S85" s="341" t="str" cm="1">
        <f t="array" ref="S85">_xlfn.LET(_xlpm.x,_xlfn.XLOOKUP(A85,Dashboard!$M$61:$M$72,Dashboard!$K$61:$K$72,""),_xlpm.orig,N85,IF(_xlpm.x&lt;&gt;"",_xlpm.x,IF(OR(_xlpm.orig="",_xlpm.orig=0),"",_xlpm.orig)))</f>
        <v/>
      </c>
    </row>
    <row r="86" spans="1:19" ht="12.75">
      <c r="A86" s="5" t="s">
        <v>352</v>
      </c>
      <c r="B86" s="4"/>
      <c r="C86" s="38"/>
      <c r="D86" s="32">
        <f>_xlfn.XLOOKUP(Projects_Follow_UP[[#This Row],[Client Name]],'Hot Leads'!A:A,'Hot Leads'!B:B,0,0)</f>
        <v>0</v>
      </c>
      <c r="E86" s="32">
        <f>_xlfn.XLOOKUP(Projects_Follow_UP[[#This Row],[Client Phone Number]],'Hot Leads'!B:B,'Hot Leads'!C:C,0,0)</f>
        <v>0</v>
      </c>
      <c r="F86" s="32">
        <f>_xlfn.XLOOKUP(Projects_Follow_UP[[#This Row],[Client Name]],'Hot Leads'!A:A,'Hot Leads'!F:F, ,0)</f>
        <v>0</v>
      </c>
      <c r="G86" s="2"/>
      <c r="H86" s="2"/>
      <c r="I86" s="2"/>
      <c r="J86" s="34"/>
      <c r="K86" s="4"/>
      <c r="L86" s="6"/>
      <c r="M86" s="4"/>
      <c r="N86" s="6"/>
      <c r="O86" s="44">
        <f>IFERROR(VALUE(SUBSTITUTE(TRIM(SUBSTITUTE(Projects_Follow_UP[[#This Row],[Est. value]],"SAR","")),",","")),0)</f>
        <v>0</v>
      </c>
      <c r="P86" s="18"/>
      <c r="Q86" s="56"/>
      <c r="R86" s="56" cm="1">
        <f t="array" ref="R86">_xlfn.LET(_xlpm.x,_xlfn.XLOOKUP(A86,Dashboard!$M$61:$M$72,Dashboard!$J$61:$J$72,""),IF(_xlpm.x&lt;&gt;"",_xlpm.x,M86))</f>
        <v>0</v>
      </c>
      <c r="S86" s="341" t="str" cm="1">
        <f t="array" ref="S86">_xlfn.LET(_xlpm.x,_xlfn.XLOOKUP(A86,Dashboard!$M$61:$M$72,Dashboard!$K$61:$K$72,""),_xlpm.orig,N86,IF(_xlpm.x&lt;&gt;"",_xlpm.x,IF(OR(_xlpm.orig="",_xlpm.orig=0),"",_xlpm.orig)))</f>
        <v/>
      </c>
    </row>
    <row r="87" spans="1:19" ht="12.75">
      <c r="A87" s="5" t="s">
        <v>353</v>
      </c>
      <c r="B87" s="4"/>
      <c r="C87" s="38"/>
      <c r="D87" s="32">
        <f>_xlfn.XLOOKUP(Projects_Follow_UP[[#This Row],[Client Name]],'Hot Leads'!A:A,'Hot Leads'!B:B,0,0)</f>
        <v>0</v>
      </c>
      <c r="E87" s="32">
        <f>_xlfn.XLOOKUP(Projects_Follow_UP[[#This Row],[Client Phone Number]],'Hot Leads'!B:B,'Hot Leads'!C:C,0,0)</f>
        <v>0</v>
      </c>
      <c r="F87" s="32">
        <f>_xlfn.XLOOKUP(Projects_Follow_UP[[#This Row],[Client Name]],'Hot Leads'!A:A,'Hot Leads'!F:F, ,0)</f>
        <v>0</v>
      </c>
      <c r="G87" s="2"/>
      <c r="H87" s="2"/>
      <c r="I87" s="2"/>
      <c r="J87" s="34"/>
      <c r="K87" s="4"/>
      <c r="L87" s="6"/>
      <c r="M87" s="4"/>
      <c r="N87" s="6"/>
      <c r="O87" s="44">
        <f>IFERROR(VALUE(SUBSTITUTE(TRIM(SUBSTITUTE(Projects_Follow_UP[[#This Row],[Est. value]],"SAR","")),",","")),0)</f>
        <v>0</v>
      </c>
      <c r="P87" s="18"/>
      <c r="Q87" s="56"/>
      <c r="R87" s="56" cm="1">
        <f t="array" ref="R87">_xlfn.LET(_xlpm.x,_xlfn.XLOOKUP(A87,Dashboard!$M$61:$M$72,Dashboard!$J$61:$J$72,""),IF(_xlpm.x&lt;&gt;"",_xlpm.x,M87))</f>
        <v>0</v>
      </c>
      <c r="S87" s="341" t="str" cm="1">
        <f t="array" ref="S87">_xlfn.LET(_xlpm.x,_xlfn.XLOOKUP(A87,Dashboard!$M$61:$M$72,Dashboard!$K$61:$K$72,""),_xlpm.orig,N87,IF(_xlpm.x&lt;&gt;"",_xlpm.x,IF(OR(_xlpm.orig="",_xlpm.orig=0),"",_xlpm.orig)))</f>
        <v/>
      </c>
    </row>
    <row r="88" spans="1:19" ht="12.75">
      <c r="A88" s="5" t="s">
        <v>354</v>
      </c>
      <c r="B88" s="4"/>
      <c r="C88" s="38"/>
      <c r="D88" s="32">
        <f>_xlfn.XLOOKUP(Projects_Follow_UP[[#This Row],[Client Name]],'Hot Leads'!A:A,'Hot Leads'!B:B,0,0)</f>
        <v>0</v>
      </c>
      <c r="E88" s="32">
        <f>_xlfn.XLOOKUP(Projects_Follow_UP[[#This Row],[Client Phone Number]],'Hot Leads'!B:B,'Hot Leads'!C:C,0,0)</f>
        <v>0</v>
      </c>
      <c r="F88" s="32">
        <f>_xlfn.XLOOKUP(Projects_Follow_UP[[#This Row],[Client Name]],'Hot Leads'!A:A,'Hot Leads'!F:F, ,0)</f>
        <v>0</v>
      </c>
      <c r="G88" s="2"/>
      <c r="H88" s="2"/>
      <c r="I88" s="2"/>
      <c r="J88" s="34"/>
      <c r="K88" s="4"/>
      <c r="L88" s="6"/>
      <c r="M88" s="4"/>
      <c r="N88" s="6"/>
      <c r="O88" s="44">
        <f>IFERROR(VALUE(SUBSTITUTE(TRIM(SUBSTITUTE(Projects_Follow_UP[[#This Row],[Est. value]],"SAR","")),",","")),0)</f>
        <v>0</v>
      </c>
      <c r="P88" s="18"/>
      <c r="Q88" s="56"/>
      <c r="R88" s="56" cm="1">
        <f t="array" ref="R88">_xlfn.LET(_xlpm.x,_xlfn.XLOOKUP(A88,Dashboard!$M$61:$M$72,Dashboard!$J$61:$J$72,""),IF(_xlpm.x&lt;&gt;"",_xlpm.x,M88))</f>
        <v>0</v>
      </c>
      <c r="S88" s="341" t="str" cm="1">
        <f t="array" ref="S88">_xlfn.LET(_xlpm.x,_xlfn.XLOOKUP(A88,Dashboard!$M$61:$M$72,Dashboard!$K$61:$K$72,""),_xlpm.orig,N88,IF(_xlpm.x&lt;&gt;"",_xlpm.x,IF(OR(_xlpm.orig="",_xlpm.orig=0),"",_xlpm.orig)))</f>
        <v/>
      </c>
    </row>
    <row r="89" spans="1:19" ht="12.75">
      <c r="A89" s="5" t="s">
        <v>355</v>
      </c>
      <c r="B89" s="4"/>
      <c r="C89" s="38"/>
      <c r="D89" s="32">
        <f>_xlfn.XLOOKUP(Projects_Follow_UP[[#This Row],[Client Name]],'Hot Leads'!A:A,'Hot Leads'!B:B,0,0)</f>
        <v>0</v>
      </c>
      <c r="E89" s="32">
        <f>_xlfn.XLOOKUP(Projects_Follow_UP[[#This Row],[Client Phone Number]],'Hot Leads'!B:B,'Hot Leads'!C:C,0,0)</f>
        <v>0</v>
      </c>
      <c r="F89" s="32">
        <f>_xlfn.XLOOKUP(Projects_Follow_UP[[#This Row],[Client Name]],'Hot Leads'!A:A,'Hot Leads'!F:F, ,0)</f>
        <v>0</v>
      </c>
      <c r="G89" s="2"/>
      <c r="H89" s="2"/>
      <c r="I89" s="2"/>
      <c r="J89" s="34"/>
      <c r="K89" s="4"/>
      <c r="L89" s="6"/>
      <c r="M89" s="4"/>
      <c r="N89" s="6"/>
      <c r="O89" s="44">
        <f>IFERROR(VALUE(SUBSTITUTE(TRIM(SUBSTITUTE(Projects_Follow_UP[[#This Row],[Est. value]],"SAR","")),",","")),0)</f>
        <v>0</v>
      </c>
      <c r="P89" s="18"/>
      <c r="Q89" s="56"/>
      <c r="R89" s="56" cm="1">
        <f t="array" ref="R89">_xlfn.LET(_xlpm.x,_xlfn.XLOOKUP(A89,Dashboard!$M$61:$M$72,Dashboard!$J$61:$J$72,""),IF(_xlpm.x&lt;&gt;"",_xlpm.x,M89))</f>
        <v>0</v>
      </c>
      <c r="S89" s="341" t="str" cm="1">
        <f t="array" ref="S89">_xlfn.LET(_xlpm.x,_xlfn.XLOOKUP(A89,Dashboard!$M$61:$M$72,Dashboard!$K$61:$K$72,""),_xlpm.orig,N89,IF(_xlpm.x&lt;&gt;"",_xlpm.x,IF(OR(_xlpm.orig="",_xlpm.orig=0),"",_xlpm.orig)))</f>
        <v/>
      </c>
    </row>
    <row r="90" spans="1:19" ht="12.75">
      <c r="A90" s="5" t="s">
        <v>356</v>
      </c>
      <c r="B90" s="4"/>
      <c r="C90" s="38"/>
      <c r="D90" s="32">
        <f>_xlfn.XLOOKUP(Projects_Follow_UP[[#This Row],[Client Name]],'Hot Leads'!A:A,'Hot Leads'!B:B,0,0)</f>
        <v>0</v>
      </c>
      <c r="E90" s="32">
        <f>_xlfn.XLOOKUP(Projects_Follow_UP[[#This Row],[Client Phone Number]],'Hot Leads'!B:B,'Hot Leads'!C:C,0,0)</f>
        <v>0</v>
      </c>
      <c r="F90" s="32">
        <f>_xlfn.XLOOKUP(Projects_Follow_UP[[#This Row],[Client Name]],'Hot Leads'!A:A,'Hot Leads'!F:F, ,0)</f>
        <v>0</v>
      </c>
      <c r="G90" s="2"/>
      <c r="H90" s="2"/>
      <c r="I90" s="2"/>
      <c r="J90" s="34"/>
      <c r="K90" s="4"/>
      <c r="L90" s="6"/>
      <c r="M90" s="4"/>
      <c r="N90" s="6"/>
      <c r="O90" s="44">
        <f>IFERROR(VALUE(SUBSTITUTE(TRIM(SUBSTITUTE(Projects_Follow_UP[[#This Row],[Est. value]],"SAR","")),",","")),0)</f>
        <v>0</v>
      </c>
      <c r="P90" s="18"/>
      <c r="Q90" s="56"/>
      <c r="R90" s="56" cm="1">
        <f t="array" ref="R90">_xlfn.LET(_xlpm.x,_xlfn.XLOOKUP(A90,Dashboard!$M$61:$M$72,Dashboard!$J$61:$J$72,""),IF(_xlpm.x&lt;&gt;"",_xlpm.x,M90))</f>
        <v>0</v>
      </c>
      <c r="S90" s="341" t="str" cm="1">
        <f t="array" ref="S90">_xlfn.LET(_xlpm.x,_xlfn.XLOOKUP(A90,Dashboard!$M$61:$M$72,Dashboard!$K$61:$K$72,""),_xlpm.orig,N90,IF(_xlpm.x&lt;&gt;"",_xlpm.x,IF(OR(_xlpm.orig="",_xlpm.orig=0),"",_xlpm.orig)))</f>
        <v/>
      </c>
    </row>
    <row r="91" spans="1:19" ht="12.75">
      <c r="A91" s="5" t="s">
        <v>357</v>
      </c>
      <c r="B91" s="4"/>
      <c r="C91" s="38"/>
      <c r="D91" s="32">
        <f>_xlfn.XLOOKUP(Projects_Follow_UP[[#This Row],[Client Name]],'Hot Leads'!A:A,'Hot Leads'!B:B,0,0)</f>
        <v>0</v>
      </c>
      <c r="E91" s="32">
        <f>_xlfn.XLOOKUP(Projects_Follow_UP[[#This Row],[Client Phone Number]],'Hot Leads'!B:B,'Hot Leads'!C:C,0,0)</f>
        <v>0</v>
      </c>
      <c r="F91" s="32">
        <f>_xlfn.XLOOKUP(Projects_Follow_UP[[#This Row],[Client Name]],'Hot Leads'!A:A,'Hot Leads'!F:F, ,0)</f>
        <v>0</v>
      </c>
      <c r="G91" s="2"/>
      <c r="H91" s="2"/>
      <c r="I91" s="2"/>
      <c r="J91" s="34"/>
      <c r="K91" s="4"/>
      <c r="L91" s="6"/>
      <c r="M91" s="4"/>
      <c r="N91" s="6"/>
      <c r="O91" s="44">
        <f>IFERROR(VALUE(SUBSTITUTE(TRIM(SUBSTITUTE(Projects_Follow_UP[[#This Row],[Est. value]],"SAR","")),",","")),0)</f>
        <v>0</v>
      </c>
      <c r="P91" s="18"/>
      <c r="Q91" s="56"/>
      <c r="R91" s="56" cm="1">
        <f t="array" ref="R91">_xlfn.LET(_xlpm.x,_xlfn.XLOOKUP(A91,Dashboard!$M$61:$M$72,Dashboard!$J$61:$J$72,""),IF(_xlpm.x&lt;&gt;"",_xlpm.x,M91))</f>
        <v>0</v>
      </c>
      <c r="S91" s="341" t="str" cm="1">
        <f t="array" ref="S91">_xlfn.LET(_xlpm.x,_xlfn.XLOOKUP(A91,Dashboard!$M$61:$M$72,Dashboard!$K$61:$K$72,""),_xlpm.orig,N91,IF(_xlpm.x&lt;&gt;"",_xlpm.x,IF(OR(_xlpm.orig="",_xlpm.orig=0),"",_xlpm.orig)))</f>
        <v/>
      </c>
    </row>
    <row r="92" spans="1:19" ht="12.75">
      <c r="A92" s="5" t="s">
        <v>358</v>
      </c>
      <c r="B92" s="4"/>
      <c r="C92" s="38"/>
      <c r="D92" s="32">
        <f>_xlfn.XLOOKUP(Projects_Follow_UP[[#This Row],[Client Name]],'Hot Leads'!A:A,'Hot Leads'!B:B,0,0)</f>
        <v>0</v>
      </c>
      <c r="E92" s="32">
        <f>_xlfn.XLOOKUP(Projects_Follow_UP[[#This Row],[Client Phone Number]],'Hot Leads'!B:B,'Hot Leads'!C:C,0,0)</f>
        <v>0</v>
      </c>
      <c r="F92" s="32">
        <f>_xlfn.XLOOKUP(Projects_Follow_UP[[#This Row],[Client Name]],'Hot Leads'!A:A,'Hot Leads'!F:F, ,0)</f>
        <v>0</v>
      </c>
      <c r="G92" s="2"/>
      <c r="H92" s="2"/>
      <c r="I92" s="2"/>
      <c r="J92" s="34"/>
      <c r="K92" s="4"/>
      <c r="L92" s="6"/>
      <c r="M92" s="4"/>
      <c r="N92" s="6"/>
      <c r="O92" s="44">
        <f>IFERROR(VALUE(SUBSTITUTE(TRIM(SUBSTITUTE(Projects_Follow_UP[[#This Row],[Est. value]],"SAR","")),",","")),0)</f>
        <v>0</v>
      </c>
      <c r="P92" s="18"/>
      <c r="Q92" s="56"/>
      <c r="R92" s="56" cm="1">
        <f t="array" ref="R92">_xlfn.LET(_xlpm.x,_xlfn.XLOOKUP(A92,Dashboard!$M$61:$M$72,Dashboard!$J$61:$J$72,""),IF(_xlpm.x&lt;&gt;"",_xlpm.x,M92))</f>
        <v>0</v>
      </c>
      <c r="S92" s="341" t="str" cm="1">
        <f t="array" ref="S92">_xlfn.LET(_xlpm.x,_xlfn.XLOOKUP(A92,Dashboard!$M$61:$M$72,Dashboard!$K$61:$K$72,""),_xlpm.orig,N92,IF(_xlpm.x&lt;&gt;"",_xlpm.x,IF(OR(_xlpm.orig="",_xlpm.orig=0),"",_xlpm.orig)))</f>
        <v/>
      </c>
    </row>
    <row r="93" spans="1:19" ht="12.75">
      <c r="A93" s="5" t="s">
        <v>359</v>
      </c>
      <c r="B93" s="4"/>
      <c r="C93" s="38"/>
      <c r="D93" s="32">
        <f>_xlfn.XLOOKUP(Projects_Follow_UP[[#This Row],[Client Name]],'Hot Leads'!A:A,'Hot Leads'!B:B,0,0)</f>
        <v>0</v>
      </c>
      <c r="E93" s="32">
        <f>_xlfn.XLOOKUP(Projects_Follow_UP[[#This Row],[Client Phone Number]],'Hot Leads'!B:B,'Hot Leads'!C:C,0,0)</f>
        <v>0</v>
      </c>
      <c r="F93" s="32">
        <f>_xlfn.XLOOKUP(Projects_Follow_UP[[#This Row],[Client Name]],'Hot Leads'!A:A,'Hot Leads'!F:F, ,0)</f>
        <v>0</v>
      </c>
      <c r="G93" s="2"/>
      <c r="H93" s="2"/>
      <c r="I93" s="2"/>
      <c r="J93" s="34"/>
      <c r="K93" s="4"/>
      <c r="L93" s="6"/>
      <c r="M93" s="4"/>
      <c r="N93" s="6"/>
      <c r="O93" s="44">
        <f>IFERROR(VALUE(SUBSTITUTE(TRIM(SUBSTITUTE(Projects_Follow_UP[[#This Row],[Est. value]],"SAR","")),",","")),0)</f>
        <v>0</v>
      </c>
      <c r="P93" s="18"/>
      <c r="Q93" s="56"/>
      <c r="R93" s="56" cm="1">
        <f t="array" ref="R93">_xlfn.LET(_xlpm.x,_xlfn.XLOOKUP(A93,Dashboard!$M$61:$M$72,Dashboard!$J$61:$J$72,""),IF(_xlpm.x&lt;&gt;"",_xlpm.x,M93))</f>
        <v>0</v>
      </c>
      <c r="S93" s="341" t="str" cm="1">
        <f t="array" ref="S93">_xlfn.LET(_xlpm.x,_xlfn.XLOOKUP(A93,Dashboard!$M$61:$M$72,Dashboard!$K$61:$K$72,""),_xlpm.orig,N93,IF(_xlpm.x&lt;&gt;"",_xlpm.x,IF(OR(_xlpm.orig="",_xlpm.orig=0),"",_xlpm.orig)))</f>
        <v/>
      </c>
    </row>
    <row r="94" spans="1:19" ht="12.75">
      <c r="A94" s="5" t="s">
        <v>360</v>
      </c>
      <c r="B94" s="4"/>
      <c r="C94" s="38"/>
      <c r="D94" s="32">
        <f>_xlfn.XLOOKUP(Projects_Follow_UP[[#This Row],[Client Name]],'Hot Leads'!A:A,'Hot Leads'!B:B,0,0)</f>
        <v>0</v>
      </c>
      <c r="E94" s="32">
        <f>_xlfn.XLOOKUP(Projects_Follow_UP[[#This Row],[Client Phone Number]],'Hot Leads'!B:B,'Hot Leads'!C:C,0,0)</f>
        <v>0</v>
      </c>
      <c r="F94" s="32">
        <f>_xlfn.XLOOKUP(Projects_Follow_UP[[#This Row],[Client Name]],'Hot Leads'!A:A,'Hot Leads'!F:F, ,0)</f>
        <v>0</v>
      </c>
      <c r="G94" s="2"/>
      <c r="H94" s="2"/>
      <c r="I94" s="2"/>
      <c r="J94" s="34"/>
      <c r="K94" s="4"/>
      <c r="L94" s="6"/>
      <c r="M94" s="4"/>
      <c r="N94" s="6"/>
      <c r="O94" s="44">
        <f>IFERROR(VALUE(SUBSTITUTE(TRIM(SUBSTITUTE(Projects_Follow_UP[[#This Row],[Est. value]],"SAR","")),",","")),0)</f>
        <v>0</v>
      </c>
      <c r="P94" s="18"/>
      <c r="Q94" s="56"/>
      <c r="R94" s="56" cm="1">
        <f t="array" ref="R94">_xlfn.LET(_xlpm.x,_xlfn.XLOOKUP(A94,Dashboard!$M$61:$M$72,Dashboard!$J$61:$J$72,""),IF(_xlpm.x&lt;&gt;"",_xlpm.x,M94))</f>
        <v>0</v>
      </c>
      <c r="S94" s="341" t="str" cm="1">
        <f t="array" ref="S94">_xlfn.LET(_xlpm.x,_xlfn.XLOOKUP(A94,Dashboard!$M$61:$M$72,Dashboard!$K$61:$K$72,""),_xlpm.orig,N94,IF(_xlpm.x&lt;&gt;"",_xlpm.x,IF(OR(_xlpm.orig="",_xlpm.orig=0),"",_xlpm.orig)))</f>
        <v/>
      </c>
    </row>
    <row r="95" spans="1:19" ht="12.75">
      <c r="A95" s="5" t="s">
        <v>361</v>
      </c>
      <c r="B95" s="4"/>
      <c r="C95" s="38"/>
      <c r="D95" s="32">
        <f>_xlfn.XLOOKUP(Projects_Follow_UP[[#This Row],[Client Name]],'Hot Leads'!A:A,'Hot Leads'!B:B,0,0)</f>
        <v>0</v>
      </c>
      <c r="E95" s="32">
        <f>_xlfn.XLOOKUP(Projects_Follow_UP[[#This Row],[Client Phone Number]],'Hot Leads'!B:B,'Hot Leads'!C:C,0,0)</f>
        <v>0</v>
      </c>
      <c r="F95" s="32">
        <f>_xlfn.XLOOKUP(Projects_Follow_UP[[#This Row],[Client Name]],'Hot Leads'!A:A,'Hot Leads'!F:F, ,0)</f>
        <v>0</v>
      </c>
      <c r="G95" s="2"/>
      <c r="H95" s="2"/>
      <c r="I95" s="2"/>
      <c r="J95" s="34"/>
      <c r="K95" s="4"/>
      <c r="L95" s="6"/>
      <c r="M95" s="4"/>
      <c r="N95" s="6"/>
      <c r="O95" s="44">
        <f>IFERROR(VALUE(SUBSTITUTE(TRIM(SUBSTITUTE(Projects_Follow_UP[[#This Row],[Est. value]],"SAR","")),",","")),0)</f>
        <v>0</v>
      </c>
      <c r="P95" s="18"/>
      <c r="Q95" s="56"/>
      <c r="R95" s="56" cm="1">
        <f t="array" ref="R95">_xlfn.LET(_xlpm.x,_xlfn.XLOOKUP(A95,Dashboard!$M$61:$M$72,Dashboard!$J$61:$J$72,""),IF(_xlpm.x&lt;&gt;"",_xlpm.x,M95))</f>
        <v>0</v>
      </c>
      <c r="S95" s="341" t="str" cm="1">
        <f t="array" ref="S95">_xlfn.LET(_xlpm.x,_xlfn.XLOOKUP(A95,Dashboard!$M$61:$M$72,Dashboard!$K$61:$K$72,""),_xlpm.orig,N95,IF(_xlpm.x&lt;&gt;"",_xlpm.x,IF(OR(_xlpm.orig="",_xlpm.orig=0),"",_xlpm.orig)))</f>
        <v/>
      </c>
    </row>
    <row r="96" spans="1:19" ht="12.75">
      <c r="A96" s="5" t="s">
        <v>362</v>
      </c>
      <c r="B96" s="4"/>
      <c r="C96" s="38"/>
      <c r="D96" s="32">
        <f>_xlfn.XLOOKUP(Projects_Follow_UP[[#This Row],[Client Name]],'Hot Leads'!A:A,'Hot Leads'!B:B,0,0)</f>
        <v>0</v>
      </c>
      <c r="E96" s="32">
        <f>_xlfn.XLOOKUP(Projects_Follow_UP[[#This Row],[Client Phone Number]],'Hot Leads'!B:B,'Hot Leads'!C:C,0,0)</f>
        <v>0</v>
      </c>
      <c r="F96" s="32">
        <f>_xlfn.XLOOKUP(Projects_Follow_UP[[#This Row],[Client Name]],'Hot Leads'!A:A,'Hot Leads'!F:F, ,0)</f>
        <v>0</v>
      </c>
      <c r="G96" s="2"/>
      <c r="H96" s="2"/>
      <c r="I96" s="2"/>
      <c r="J96" s="34"/>
      <c r="K96" s="4"/>
      <c r="L96" s="6"/>
      <c r="M96" s="4"/>
      <c r="N96" s="6"/>
      <c r="O96" s="44">
        <f>IFERROR(VALUE(SUBSTITUTE(TRIM(SUBSTITUTE(Projects_Follow_UP[[#This Row],[Est. value]],"SAR","")),",","")),0)</f>
        <v>0</v>
      </c>
      <c r="P96" s="18"/>
      <c r="Q96" s="56"/>
      <c r="R96" s="56" cm="1">
        <f t="array" ref="R96">_xlfn.LET(_xlpm.x,_xlfn.XLOOKUP(A96,Dashboard!$M$61:$M$72,Dashboard!$J$61:$J$72,""),IF(_xlpm.x&lt;&gt;"",_xlpm.x,M96))</f>
        <v>0</v>
      </c>
      <c r="S96" s="341" t="str" cm="1">
        <f t="array" ref="S96">_xlfn.LET(_xlpm.x,_xlfn.XLOOKUP(A96,Dashboard!$M$61:$M$72,Dashboard!$K$61:$K$72,""),_xlpm.orig,N96,IF(_xlpm.x&lt;&gt;"",_xlpm.x,IF(OR(_xlpm.orig="",_xlpm.orig=0),"",_xlpm.orig)))</f>
        <v/>
      </c>
    </row>
    <row r="97" spans="1:19" ht="12.75">
      <c r="A97" s="5" t="s">
        <v>363</v>
      </c>
      <c r="B97" s="4"/>
      <c r="C97" s="38"/>
      <c r="D97" s="32">
        <f>_xlfn.XLOOKUP(Projects_Follow_UP[[#This Row],[Client Name]],'Hot Leads'!A:A,'Hot Leads'!B:B,0,0)</f>
        <v>0</v>
      </c>
      <c r="E97" s="32">
        <f>_xlfn.XLOOKUP(Projects_Follow_UP[[#This Row],[Client Phone Number]],'Hot Leads'!B:B,'Hot Leads'!C:C,0,0)</f>
        <v>0</v>
      </c>
      <c r="F97" s="32">
        <f>_xlfn.XLOOKUP(Projects_Follow_UP[[#This Row],[Client Name]],'Hot Leads'!A:A,'Hot Leads'!F:F, ,0)</f>
        <v>0</v>
      </c>
      <c r="G97" s="2"/>
      <c r="H97" s="2"/>
      <c r="I97" s="2"/>
      <c r="J97" s="34"/>
      <c r="K97" s="4"/>
      <c r="L97" s="6"/>
      <c r="M97" s="4"/>
      <c r="N97" s="6"/>
      <c r="O97" s="44">
        <f>IFERROR(VALUE(SUBSTITUTE(TRIM(SUBSTITUTE(Projects_Follow_UP[[#This Row],[Est. value]],"SAR","")),",","")),0)</f>
        <v>0</v>
      </c>
      <c r="P97" s="18"/>
      <c r="Q97" s="56"/>
      <c r="R97" s="56" cm="1">
        <f t="array" ref="R97">_xlfn.LET(_xlpm.x,_xlfn.XLOOKUP(A97,Dashboard!$M$61:$M$72,Dashboard!$J$61:$J$72,""),IF(_xlpm.x&lt;&gt;"",_xlpm.x,M97))</f>
        <v>0</v>
      </c>
      <c r="S97" s="341" t="str" cm="1">
        <f t="array" ref="S97">_xlfn.LET(_xlpm.x,_xlfn.XLOOKUP(A97,Dashboard!$M$61:$M$72,Dashboard!$K$61:$K$72,""),_xlpm.orig,N97,IF(_xlpm.x&lt;&gt;"",_xlpm.x,IF(OR(_xlpm.orig="",_xlpm.orig=0),"",_xlpm.orig)))</f>
        <v/>
      </c>
    </row>
    <row r="98" spans="1:19" ht="12.75">
      <c r="A98" s="5" t="s">
        <v>364</v>
      </c>
      <c r="B98" s="4"/>
      <c r="C98" s="38"/>
      <c r="D98" s="32">
        <f>_xlfn.XLOOKUP(Projects_Follow_UP[[#This Row],[Client Name]],'Hot Leads'!A:A,'Hot Leads'!B:B,0,0)</f>
        <v>0</v>
      </c>
      <c r="E98" s="32">
        <f>_xlfn.XLOOKUP(Projects_Follow_UP[[#This Row],[Client Phone Number]],'Hot Leads'!B:B,'Hot Leads'!C:C,0,0)</f>
        <v>0</v>
      </c>
      <c r="F98" s="32">
        <f>_xlfn.XLOOKUP(Projects_Follow_UP[[#This Row],[Client Name]],'Hot Leads'!A:A,'Hot Leads'!F:F, ,0)</f>
        <v>0</v>
      </c>
      <c r="G98" s="2"/>
      <c r="H98" s="2"/>
      <c r="I98" s="2"/>
      <c r="J98" s="34"/>
      <c r="K98" s="4"/>
      <c r="L98" s="6"/>
      <c r="M98" s="4"/>
      <c r="N98" s="6"/>
      <c r="O98" s="44">
        <f>IFERROR(VALUE(SUBSTITUTE(TRIM(SUBSTITUTE(Projects_Follow_UP[[#This Row],[Est. value]],"SAR","")),",","")),0)</f>
        <v>0</v>
      </c>
      <c r="P98" s="18"/>
      <c r="Q98" s="56"/>
      <c r="R98" s="56" cm="1">
        <f t="array" ref="R98">_xlfn.LET(_xlpm.x,_xlfn.XLOOKUP(A98,Dashboard!$M$61:$M$72,Dashboard!$J$61:$J$72,""),IF(_xlpm.x&lt;&gt;"",_xlpm.x,M98))</f>
        <v>0</v>
      </c>
      <c r="S98" s="341" t="str" cm="1">
        <f t="array" ref="S98">_xlfn.LET(_xlpm.x,_xlfn.XLOOKUP(A98,Dashboard!$M$61:$M$72,Dashboard!$K$61:$K$72,""),_xlpm.orig,N98,IF(_xlpm.x&lt;&gt;"",_xlpm.x,IF(OR(_xlpm.orig="",_xlpm.orig=0),"",_xlpm.orig)))</f>
        <v/>
      </c>
    </row>
    <row r="99" spans="1:19" ht="12.75">
      <c r="A99" s="5" t="s">
        <v>365</v>
      </c>
      <c r="B99" s="4"/>
      <c r="C99" s="38"/>
      <c r="D99" s="32">
        <f>_xlfn.XLOOKUP(Projects_Follow_UP[[#This Row],[Client Name]],'Hot Leads'!A:A,'Hot Leads'!B:B,0,0)</f>
        <v>0</v>
      </c>
      <c r="E99" s="32">
        <f>_xlfn.XLOOKUP(Projects_Follow_UP[[#This Row],[Client Phone Number]],'Hot Leads'!B:B,'Hot Leads'!C:C,0,0)</f>
        <v>0</v>
      </c>
      <c r="F99" s="32">
        <f>_xlfn.XLOOKUP(Projects_Follow_UP[[#This Row],[Client Name]],'Hot Leads'!A:A,'Hot Leads'!F:F, ,0)</f>
        <v>0</v>
      </c>
      <c r="G99" s="2"/>
      <c r="H99" s="2"/>
      <c r="I99" s="2"/>
      <c r="J99" s="34"/>
      <c r="K99" s="4"/>
      <c r="L99" s="6"/>
      <c r="M99" s="4"/>
      <c r="N99" s="6"/>
      <c r="O99" s="44">
        <f>IFERROR(VALUE(SUBSTITUTE(TRIM(SUBSTITUTE(Projects_Follow_UP[[#This Row],[Est. value]],"SAR","")),",","")),0)</f>
        <v>0</v>
      </c>
      <c r="P99" s="18"/>
      <c r="Q99" s="56"/>
      <c r="R99" s="56" cm="1">
        <f t="array" ref="R99">_xlfn.LET(_xlpm.x,_xlfn.XLOOKUP(A99,Dashboard!$M$61:$M$72,Dashboard!$J$61:$J$72,""),IF(_xlpm.x&lt;&gt;"",_xlpm.x,M99))</f>
        <v>0</v>
      </c>
      <c r="S99" s="341" t="str" cm="1">
        <f t="array" ref="S99">_xlfn.LET(_xlpm.x,_xlfn.XLOOKUP(A99,Dashboard!$M$61:$M$72,Dashboard!$K$61:$K$72,""),_xlpm.orig,N99,IF(_xlpm.x&lt;&gt;"",_xlpm.x,IF(OR(_xlpm.orig="",_xlpm.orig=0),"",_xlpm.orig)))</f>
        <v/>
      </c>
    </row>
    <row r="100" spans="1:19" ht="12.75">
      <c r="A100" s="5" t="s">
        <v>366</v>
      </c>
      <c r="B100" s="4"/>
      <c r="C100" s="38"/>
      <c r="D100" s="32">
        <f>_xlfn.XLOOKUP(Projects_Follow_UP[[#This Row],[Client Name]],'Hot Leads'!A:A,'Hot Leads'!B:B,0,0)</f>
        <v>0</v>
      </c>
      <c r="E100" s="32">
        <f>_xlfn.XLOOKUP(Projects_Follow_UP[[#This Row],[Client Phone Number]],'Hot Leads'!B:B,'Hot Leads'!C:C,0,0)</f>
        <v>0</v>
      </c>
      <c r="F100" s="32">
        <f>_xlfn.XLOOKUP(Projects_Follow_UP[[#This Row],[Client Name]],'Hot Leads'!A:A,'Hot Leads'!F:F, ,0)</f>
        <v>0</v>
      </c>
      <c r="G100" s="2"/>
      <c r="H100" s="2"/>
      <c r="I100" s="2"/>
      <c r="J100" s="34"/>
      <c r="K100" s="4"/>
      <c r="L100" s="6"/>
      <c r="M100" s="4"/>
      <c r="N100" s="6"/>
      <c r="O100" s="44">
        <f>IFERROR(VALUE(SUBSTITUTE(TRIM(SUBSTITUTE(Projects_Follow_UP[[#This Row],[Est. value]],"SAR","")),",","")),0)</f>
        <v>0</v>
      </c>
      <c r="P100" s="18"/>
      <c r="Q100" s="56"/>
      <c r="R100" s="56" cm="1">
        <f t="array" ref="R100">_xlfn.LET(_xlpm.x,_xlfn.XLOOKUP(A100,Dashboard!$M$61:$M$72,Dashboard!$J$61:$J$72,""),IF(_xlpm.x&lt;&gt;"",_xlpm.x,M100))</f>
        <v>0</v>
      </c>
      <c r="S100" s="341" t="str" cm="1">
        <f t="array" ref="S100">_xlfn.LET(_xlpm.x,_xlfn.XLOOKUP(A100,Dashboard!$M$61:$M$72,Dashboard!$K$61:$K$72,""),_xlpm.orig,N100,IF(_xlpm.x&lt;&gt;"",_xlpm.x,IF(OR(_xlpm.orig="",_xlpm.orig=0),"",_xlpm.orig)))</f>
        <v/>
      </c>
    </row>
    <row r="101" spans="1:19" ht="12.75">
      <c r="A101" s="5" t="s">
        <v>367</v>
      </c>
      <c r="B101" s="56"/>
      <c r="C101" s="38"/>
      <c r="D101" s="32">
        <f>_xlfn.XLOOKUP(Projects_Follow_UP[[#This Row],[Client Name]],'Hot Leads'!A:A,'Hot Leads'!B:B,0,0)</f>
        <v>0</v>
      </c>
      <c r="E101" s="32">
        <f>_xlfn.XLOOKUP(Projects_Follow_UP[[#This Row],[Client Phone Number]],'Hot Leads'!B:B,'Hot Leads'!C:C,0,0)</f>
        <v>0</v>
      </c>
      <c r="F101" s="32">
        <f>_xlfn.XLOOKUP(Projects_Follow_UP[[#This Row],[Client Name]],'Hot Leads'!A:A,'Hot Leads'!F:F, ,0)</f>
        <v>0</v>
      </c>
      <c r="G101" s="56"/>
      <c r="H101" s="56"/>
      <c r="I101" s="39"/>
      <c r="J101" s="56"/>
      <c r="L101" s="56"/>
      <c r="M101" s="39"/>
      <c r="N101" s="56"/>
      <c r="O101" s="57">
        <f>IFERROR(VALUE(SUBSTITUTE(TRIM(SUBSTITUTE(Projects_Follow_UP[[#This Row],[Est. value]],"SAR","")),",","")),0)</f>
        <v>0</v>
      </c>
      <c r="P101" s="18"/>
      <c r="Q101" s="56"/>
      <c r="R101" s="56" cm="1">
        <f t="array" ref="R101">_xlfn.LET(_xlpm.x,_xlfn.XLOOKUP(A101,Dashboard!$M$61:$M$72,Dashboard!$J$61:$J$72,""),IF(_xlpm.x&lt;&gt;"",_xlpm.x,M101))</f>
        <v>0</v>
      </c>
      <c r="S101" s="341" t="str" cm="1">
        <f t="array" ref="S101">_xlfn.LET(_xlpm.x,_xlfn.XLOOKUP(A101,Dashboard!$M$61:$M$72,Dashboard!$K$61:$K$72,""),_xlpm.orig,N101,IF(_xlpm.x&lt;&gt;"",_xlpm.x,IF(OR(_xlpm.orig="",_xlpm.orig=0),"",_xlpm.orig)))</f>
        <v/>
      </c>
    </row>
    <row r="102" spans="1:19" ht="12.75">
      <c r="A102" s="5" t="s">
        <v>368</v>
      </c>
      <c r="B102" s="56"/>
      <c r="C102" s="38"/>
      <c r="D102" s="32">
        <f>_xlfn.XLOOKUP(Projects_Follow_UP[[#This Row],[Client Name]],'Hot Leads'!A:A,'Hot Leads'!B:B,0,0)</f>
        <v>0</v>
      </c>
      <c r="E102" s="32">
        <f>_xlfn.XLOOKUP(Projects_Follow_UP[[#This Row],[Client Phone Number]],'Hot Leads'!B:B,'Hot Leads'!C:C,0,0)</f>
        <v>0</v>
      </c>
      <c r="F102" s="32">
        <f>_xlfn.XLOOKUP(Projects_Follow_UP[[#This Row],[Client Name]],'Hot Leads'!A:A,'Hot Leads'!F:F, ,0)</f>
        <v>0</v>
      </c>
      <c r="G102" s="56"/>
      <c r="H102" s="56"/>
      <c r="I102" s="39"/>
      <c r="J102" s="56"/>
      <c r="L102" s="56"/>
      <c r="M102" s="39"/>
      <c r="N102" s="56"/>
      <c r="O102" s="57">
        <f>IFERROR(VALUE(SUBSTITUTE(TRIM(SUBSTITUTE(Projects_Follow_UP[[#This Row],[Est. value]],"SAR","")),",","")),0)</f>
        <v>0</v>
      </c>
      <c r="P102" s="56"/>
      <c r="Q102" s="56"/>
      <c r="R102" s="56" cm="1">
        <f t="array" ref="R102">_xlfn.LET(_xlpm.x,_xlfn.XLOOKUP(A102,Dashboard!$M$61:$M$72,Dashboard!$J$61:$J$72,""),IF(_xlpm.x&lt;&gt;"",_xlpm.x,M102))</f>
        <v>0</v>
      </c>
      <c r="S102" s="341" t="str" cm="1">
        <f t="array" ref="S102">_xlfn.LET(_xlpm.x,_xlfn.XLOOKUP(A102,Dashboard!$M$61:$M$72,Dashboard!$K$61:$K$72,""),_xlpm.orig,N102,IF(_xlpm.x&lt;&gt;"",_xlpm.x,IF(OR(_xlpm.orig="",_xlpm.orig=0),"",_xlpm.orig)))</f>
        <v/>
      </c>
    </row>
    <row r="103" spans="1:19" ht="12.75">
      <c r="A103" s="5" t="s">
        <v>369</v>
      </c>
      <c r="B103" s="56"/>
      <c r="C103" s="38"/>
      <c r="D103" s="32">
        <f>_xlfn.XLOOKUP(Projects_Follow_UP[[#This Row],[Client Name]],'Hot Leads'!A:A,'Hot Leads'!B:B,0,0)</f>
        <v>0</v>
      </c>
      <c r="E103" s="32">
        <f>_xlfn.XLOOKUP(Projects_Follow_UP[[#This Row],[Client Phone Number]],'Hot Leads'!B:B,'Hot Leads'!C:C,0,0)</f>
        <v>0</v>
      </c>
      <c r="F103" s="32">
        <f>_xlfn.XLOOKUP(Projects_Follow_UP[[#This Row],[Client Name]],'Hot Leads'!A:A,'Hot Leads'!F:F, ,0)</f>
        <v>0</v>
      </c>
      <c r="G103" s="56"/>
      <c r="H103" s="56"/>
      <c r="I103" s="39"/>
      <c r="J103" s="56"/>
      <c r="L103" s="56"/>
      <c r="M103" s="39"/>
      <c r="N103" s="56"/>
      <c r="O103" s="57">
        <f>IFERROR(VALUE(SUBSTITUTE(TRIM(SUBSTITUTE(Projects_Follow_UP[[#This Row],[Est. value]],"SAR","")),",","")),0)</f>
        <v>0</v>
      </c>
      <c r="P103" s="56"/>
      <c r="Q103" s="56"/>
      <c r="R103" s="56" cm="1">
        <f t="array" ref="R103">_xlfn.LET(_xlpm.x,_xlfn.XLOOKUP(A103,Dashboard!$M$61:$M$72,Dashboard!$J$61:$J$72,""),IF(_xlpm.x&lt;&gt;"",_xlpm.x,M103))</f>
        <v>0</v>
      </c>
      <c r="S103" s="341" t="str" cm="1">
        <f t="array" ref="S103">_xlfn.LET(_xlpm.x,_xlfn.XLOOKUP(A103,Dashboard!$M$61:$M$72,Dashboard!$K$61:$K$72,""),_xlpm.orig,N103,IF(_xlpm.x&lt;&gt;"",_xlpm.x,IF(OR(_xlpm.orig="",_xlpm.orig=0),"",_xlpm.orig)))</f>
        <v/>
      </c>
    </row>
    <row r="104" spans="1:19" ht="12.75">
      <c r="A104" s="5" t="s">
        <v>370</v>
      </c>
      <c r="B104" s="56"/>
      <c r="C104" s="38"/>
      <c r="D104" s="32">
        <f>_xlfn.XLOOKUP(Projects_Follow_UP[[#This Row],[Client Name]],'Hot Leads'!A:A,'Hot Leads'!B:B,0,0)</f>
        <v>0</v>
      </c>
      <c r="E104" s="32">
        <f>_xlfn.XLOOKUP(Projects_Follow_UP[[#This Row],[Client Phone Number]],'Hot Leads'!B:B,'Hot Leads'!C:C,0,0)</f>
        <v>0</v>
      </c>
      <c r="F104" s="32">
        <f>_xlfn.XLOOKUP(Projects_Follow_UP[[#This Row],[Client Name]],'Hot Leads'!A:A,'Hot Leads'!F:F, ,0)</f>
        <v>0</v>
      </c>
      <c r="G104" s="56"/>
      <c r="H104" s="56"/>
      <c r="I104" s="39"/>
      <c r="J104" s="56"/>
      <c r="L104" s="56"/>
      <c r="M104" s="39"/>
      <c r="N104" s="56"/>
      <c r="O104" s="57">
        <f>IFERROR(VALUE(SUBSTITUTE(TRIM(SUBSTITUTE(Projects_Follow_UP[[#This Row],[Est. value]],"SAR","")),",","")),0)</f>
        <v>0</v>
      </c>
      <c r="P104" s="56"/>
      <c r="Q104" s="56"/>
      <c r="R104" s="56" cm="1">
        <f t="array" ref="R104">_xlfn.LET(_xlpm.x,_xlfn.XLOOKUP(A104,Dashboard!$M$61:$M$72,Dashboard!$J$61:$J$72,""),IF(_xlpm.x&lt;&gt;"",_xlpm.x,M104))</f>
        <v>0</v>
      </c>
      <c r="S104" s="341" t="str" cm="1">
        <f t="array" ref="S104">_xlfn.LET(_xlpm.x,_xlfn.XLOOKUP(A104,Dashboard!$M$61:$M$72,Dashboard!$K$61:$K$72,""),_xlpm.orig,N104,IF(_xlpm.x&lt;&gt;"",_xlpm.x,IF(OR(_xlpm.orig="",_xlpm.orig=0),"",_xlpm.orig)))</f>
        <v/>
      </c>
    </row>
    <row r="105" spans="1:19" ht="12.75">
      <c r="A105" s="5" t="s">
        <v>371</v>
      </c>
      <c r="B105" s="56"/>
      <c r="C105" s="38"/>
      <c r="D105" s="32">
        <f>_xlfn.XLOOKUP(Projects_Follow_UP[[#This Row],[Client Name]],'Hot Leads'!A:A,'Hot Leads'!B:B,0,0)</f>
        <v>0</v>
      </c>
      <c r="E105" s="32">
        <f>_xlfn.XLOOKUP(Projects_Follow_UP[[#This Row],[Client Phone Number]],'Hot Leads'!B:B,'Hot Leads'!C:C,0,0)</f>
        <v>0</v>
      </c>
      <c r="F105" s="32">
        <f>_xlfn.XLOOKUP(Projects_Follow_UP[[#This Row],[Client Name]],'Hot Leads'!A:A,'Hot Leads'!F:F, ,0)</f>
        <v>0</v>
      </c>
      <c r="G105" s="56"/>
      <c r="H105" s="56"/>
      <c r="I105" s="39"/>
      <c r="J105" s="56"/>
      <c r="L105" s="56"/>
      <c r="M105" s="39"/>
      <c r="N105" s="56"/>
      <c r="O105" s="57">
        <f>IFERROR(VALUE(SUBSTITUTE(TRIM(SUBSTITUTE(Projects_Follow_UP[[#This Row],[Est. value]],"SAR","")),",","")),0)</f>
        <v>0</v>
      </c>
      <c r="P105" s="56"/>
      <c r="Q105" s="56"/>
      <c r="R105" s="56" cm="1">
        <f t="array" ref="R105">_xlfn.LET(_xlpm.x,_xlfn.XLOOKUP(A105,Dashboard!$M$61:$M$72,Dashboard!$J$61:$J$72,""),IF(_xlpm.x&lt;&gt;"",_xlpm.x,M105))</f>
        <v>0</v>
      </c>
      <c r="S105" s="341" t="str" cm="1">
        <f t="array" ref="S105">_xlfn.LET(_xlpm.x,_xlfn.XLOOKUP(A105,Dashboard!$M$61:$M$72,Dashboard!$K$61:$K$72,""),_xlpm.orig,N105,IF(_xlpm.x&lt;&gt;"",_xlpm.x,IF(OR(_xlpm.orig="",_xlpm.orig=0),"",_xlpm.orig)))</f>
        <v/>
      </c>
    </row>
    <row r="106" spans="1:19" ht="12.75">
      <c r="A106" s="5" t="s">
        <v>372</v>
      </c>
      <c r="B106" s="56"/>
      <c r="C106" s="38"/>
      <c r="D106" s="32">
        <f>_xlfn.XLOOKUP(Projects_Follow_UP[[#This Row],[Client Name]],'Hot Leads'!A:A,'Hot Leads'!B:B,0,0)</f>
        <v>0</v>
      </c>
      <c r="E106" s="32">
        <f>_xlfn.XLOOKUP(Projects_Follow_UP[[#This Row],[Client Phone Number]],'Hot Leads'!B:B,'Hot Leads'!C:C,0,0)</f>
        <v>0</v>
      </c>
      <c r="F106" s="32">
        <f>_xlfn.XLOOKUP(Projects_Follow_UP[[#This Row],[Client Name]],'Hot Leads'!A:A,'Hot Leads'!F:F, ,0)</f>
        <v>0</v>
      </c>
      <c r="G106" s="56"/>
      <c r="H106" s="56"/>
      <c r="I106" s="39"/>
      <c r="J106" s="56"/>
      <c r="L106" s="56"/>
      <c r="M106" s="39"/>
      <c r="N106" s="56"/>
      <c r="O106" s="57">
        <f>IFERROR(VALUE(SUBSTITUTE(TRIM(SUBSTITUTE(Projects_Follow_UP[[#This Row],[Est. value]],"SAR","")),",","")),0)</f>
        <v>0</v>
      </c>
      <c r="P106" s="56"/>
      <c r="Q106" s="56"/>
      <c r="R106" s="56" cm="1">
        <f t="array" ref="R106">_xlfn.LET(_xlpm.x,_xlfn.XLOOKUP(A106,Dashboard!$M$61:$M$72,Dashboard!$J$61:$J$72,""),IF(_xlpm.x&lt;&gt;"",_xlpm.x,M106))</f>
        <v>0</v>
      </c>
      <c r="S106" s="341" t="str" cm="1">
        <f t="array" ref="S106">_xlfn.LET(_xlpm.x,_xlfn.XLOOKUP(A106,Dashboard!$M$61:$M$72,Dashboard!$K$61:$K$72,""),_xlpm.orig,N106,IF(_xlpm.x&lt;&gt;"",_xlpm.x,IF(OR(_xlpm.orig="",_xlpm.orig=0),"",_xlpm.orig)))</f>
        <v/>
      </c>
    </row>
    <row r="107" spans="1:19" ht="12.75">
      <c r="A107" s="5" t="s">
        <v>373</v>
      </c>
      <c r="B107" s="56"/>
      <c r="C107" s="38"/>
      <c r="D107" s="32">
        <f>_xlfn.XLOOKUP(Projects_Follow_UP[[#This Row],[Client Name]],'Hot Leads'!A:A,'Hot Leads'!B:B,0,0)</f>
        <v>0</v>
      </c>
      <c r="E107" s="32">
        <f>_xlfn.XLOOKUP(Projects_Follow_UP[[#This Row],[Client Phone Number]],'Hot Leads'!B:B,'Hot Leads'!C:C,0,0)</f>
        <v>0</v>
      </c>
      <c r="F107" s="32">
        <f>_xlfn.XLOOKUP(Projects_Follow_UP[[#This Row],[Client Name]],'Hot Leads'!A:A,'Hot Leads'!F:F, ,0)</f>
        <v>0</v>
      </c>
      <c r="G107" s="56"/>
      <c r="H107" s="56"/>
      <c r="I107" s="39"/>
      <c r="J107" s="56"/>
      <c r="L107" s="56"/>
      <c r="M107" s="39"/>
      <c r="N107" s="56"/>
      <c r="O107" s="57">
        <f>IFERROR(VALUE(SUBSTITUTE(TRIM(SUBSTITUTE(Projects_Follow_UP[[#This Row],[Est. value]],"SAR","")),",","")),0)</f>
        <v>0</v>
      </c>
      <c r="P107" s="56"/>
      <c r="Q107" s="56"/>
      <c r="R107" s="56" cm="1">
        <f t="array" ref="R107">_xlfn.LET(_xlpm.x,_xlfn.XLOOKUP(A107,Dashboard!$M$61:$M$72,Dashboard!$J$61:$J$72,""),IF(_xlpm.x&lt;&gt;"",_xlpm.x,M107))</f>
        <v>0</v>
      </c>
      <c r="S107" s="341" t="str" cm="1">
        <f t="array" ref="S107">_xlfn.LET(_xlpm.x,_xlfn.XLOOKUP(A107,Dashboard!$M$61:$M$72,Dashboard!$K$61:$K$72,""),_xlpm.orig,N107,IF(_xlpm.x&lt;&gt;"",_xlpm.x,IF(OR(_xlpm.orig="",_xlpm.orig=0),"",_xlpm.orig)))</f>
        <v/>
      </c>
    </row>
    <row r="108" spans="1:19" ht="12.75">
      <c r="A108" s="5" t="s">
        <v>374</v>
      </c>
      <c r="B108" s="56"/>
      <c r="C108" s="38"/>
      <c r="D108" s="32">
        <f>_xlfn.XLOOKUP(Projects_Follow_UP[[#This Row],[Client Name]],'Hot Leads'!A:A,'Hot Leads'!B:B,0,0)</f>
        <v>0</v>
      </c>
      <c r="E108" s="32">
        <f>_xlfn.XLOOKUP(Projects_Follow_UP[[#This Row],[Client Phone Number]],'Hot Leads'!B:B,'Hot Leads'!C:C,0,0)</f>
        <v>0</v>
      </c>
      <c r="F108" s="32">
        <f>_xlfn.XLOOKUP(Projects_Follow_UP[[#This Row],[Client Name]],'Hot Leads'!A:A,'Hot Leads'!F:F, ,0)</f>
        <v>0</v>
      </c>
      <c r="G108" s="56"/>
      <c r="H108" s="56"/>
      <c r="I108" s="39"/>
      <c r="J108" s="56"/>
      <c r="L108" s="56"/>
      <c r="M108" s="39"/>
      <c r="N108" s="56"/>
      <c r="O108" s="57">
        <f>IFERROR(VALUE(SUBSTITUTE(TRIM(SUBSTITUTE(Projects_Follow_UP[[#This Row],[Est. value]],"SAR","")),",","")),0)</f>
        <v>0</v>
      </c>
      <c r="P108" s="56"/>
      <c r="Q108" s="56"/>
      <c r="R108" s="56" cm="1">
        <f t="array" ref="R108">_xlfn.LET(_xlpm.x,_xlfn.XLOOKUP(A108,Dashboard!$M$61:$M$72,Dashboard!$J$61:$J$72,""),IF(_xlpm.x&lt;&gt;"",_xlpm.x,M108))</f>
        <v>0</v>
      </c>
      <c r="S108" s="341" t="str" cm="1">
        <f t="array" ref="S108">_xlfn.LET(_xlpm.x,_xlfn.XLOOKUP(A108,Dashboard!$M$61:$M$72,Dashboard!$K$61:$K$72,""),_xlpm.orig,N108,IF(_xlpm.x&lt;&gt;"",_xlpm.x,IF(OR(_xlpm.orig="",_xlpm.orig=0),"",_xlpm.orig)))</f>
        <v/>
      </c>
    </row>
    <row r="109" spans="1:19" ht="12.75">
      <c r="A109" s="5" t="s">
        <v>375</v>
      </c>
      <c r="B109" s="56"/>
      <c r="C109" s="38"/>
      <c r="D109" s="32">
        <f>_xlfn.XLOOKUP(Projects_Follow_UP[[#This Row],[Client Name]],'Hot Leads'!A:A,'Hot Leads'!B:B,0,0)</f>
        <v>0</v>
      </c>
      <c r="E109" s="32">
        <f>_xlfn.XLOOKUP(Projects_Follow_UP[[#This Row],[Client Phone Number]],'Hot Leads'!B:B,'Hot Leads'!C:C,0,0)</f>
        <v>0</v>
      </c>
      <c r="F109" s="32">
        <f>_xlfn.XLOOKUP(Projects_Follow_UP[[#This Row],[Client Name]],'Hot Leads'!A:A,'Hot Leads'!F:F, ,0)</f>
        <v>0</v>
      </c>
      <c r="G109" s="56"/>
      <c r="H109" s="56"/>
      <c r="I109" s="39"/>
      <c r="J109" s="56"/>
      <c r="L109" s="56"/>
      <c r="M109" s="39"/>
      <c r="N109" s="56"/>
      <c r="O109" s="57">
        <f>IFERROR(VALUE(SUBSTITUTE(TRIM(SUBSTITUTE(Projects_Follow_UP[[#This Row],[Est. value]],"SAR","")),",","")),0)</f>
        <v>0</v>
      </c>
      <c r="P109" s="56"/>
      <c r="Q109" s="56"/>
      <c r="R109" s="56" cm="1">
        <f t="array" ref="R109">_xlfn.LET(_xlpm.x,_xlfn.XLOOKUP(A109,Dashboard!$M$61:$M$72,Dashboard!$J$61:$J$72,""),IF(_xlpm.x&lt;&gt;"",_xlpm.x,M109))</f>
        <v>0</v>
      </c>
      <c r="S109" s="341" t="str" cm="1">
        <f t="array" ref="S109">_xlfn.LET(_xlpm.x,_xlfn.XLOOKUP(A109,Dashboard!$M$61:$M$72,Dashboard!$K$61:$K$72,""),_xlpm.orig,N109,IF(_xlpm.x&lt;&gt;"",_xlpm.x,IF(OR(_xlpm.orig="",_xlpm.orig=0),"",_xlpm.orig)))</f>
        <v/>
      </c>
    </row>
    <row r="110" spans="1:19" ht="12.75">
      <c r="A110" s="5" t="s">
        <v>376</v>
      </c>
      <c r="B110" s="56"/>
      <c r="C110" s="38"/>
      <c r="D110" s="32">
        <f>_xlfn.XLOOKUP(Projects_Follow_UP[[#This Row],[Client Name]],'Hot Leads'!A:A,'Hot Leads'!B:B,0,0)</f>
        <v>0</v>
      </c>
      <c r="E110" s="32">
        <f>_xlfn.XLOOKUP(Projects_Follow_UP[[#This Row],[Client Phone Number]],'Hot Leads'!B:B,'Hot Leads'!C:C,0,0)</f>
        <v>0</v>
      </c>
      <c r="F110" s="32">
        <f>_xlfn.XLOOKUP(Projects_Follow_UP[[#This Row],[Client Name]],'Hot Leads'!A:A,'Hot Leads'!F:F, ,0)</f>
        <v>0</v>
      </c>
      <c r="G110" s="56"/>
      <c r="H110" s="56"/>
      <c r="I110" s="39"/>
      <c r="J110" s="56"/>
      <c r="L110" s="56"/>
      <c r="M110" s="39"/>
      <c r="N110" s="56"/>
      <c r="O110" s="57">
        <f>IFERROR(VALUE(SUBSTITUTE(TRIM(SUBSTITUTE(Projects_Follow_UP[[#This Row],[Est. value]],"SAR","")),",","")),0)</f>
        <v>0</v>
      </c>
      <c r="P110" s="56"/>
      <c r="Q110" s="56"/>
      <c r="R110" s="56" cm="1">
        <f t="array" ref="R110">_xlfn.LET(_xlpm.x,_xlfn.XLOOKUP(A110,Dashboard!$M$61:$M$72,Dashboard!$J$61:$J$72,""),IF(_xlpm.x&lt;&gt;"",_xlpm.x,M110))</f>
        <v>0</v>
      </c>
      <c r="S110" s="341" t="str" cm="1">
        <f t="array" ref="S110">_xlfn.LET(_xlpm.x,_xlfn.XLOOKUP(A110,Dashboard!$M$61:$M$72,Dashboard!$K$61:$K$72,""),_xlpm.orig,N110,IF(_xlpm.x&lt;&gt;"",_xlpm.x,IF(OR(_xlpm.orig="",_xlpm.orig=0),"",_xlpm.orig)))</f>
        <v/>
      </c>
    </row>
    <row r="111" spans="1:19" ht="12.75">
      <c r="A111" s="5" t="s">
        <v>377</v>
      </c>
      <c r="B111" s="56"/>
      <c r="C111" s="38"/>
      <c r="D111" s="32">
        <f>_xlfn.XLOOKUP(Projects_Follow_UP[[#This Row],[Client Name]],'Hot Leads'!A:A,'Hot Leads'!B:B,0,0)</f>
        <v>0</v>
      </c>
      <c r="E111" s="32">
        <f>_xlfn.XLOOKUP(Projects_Follow_UP[[#This Row],[Client Phone Number]],'Hot Leads'!B:B,'Hot Leads'!C:C,0,0)</f>
        <v>0</v>
      </c>
      <c r="F111" s="32">
        <f>_xlfn.XLOOKUP(Projects_Follow_UP[[#This Row],[Client Name]],'Hot Leads'!A:A,'Hot Leads'!F:F, ,0)</f>
        <v>0</v>
      </c>
      <c r="G111" s="56"/>
      <c r="H111" s="56"/>
      <c r="I111" s="39"/>
      <c r="J111" s="56"/>
      <c r="L111" s="56"/>
      <c r="M111" s="39"/>
      <c r="N111" s="56"/>
      <c r="O111" s="57">
        <f>IFERROR(VALUE(SUBSTITUTE(TRIM(SUBSTITUTE(Projects_Follow_UP[[#This Row],[Est. value]],"SAR","")),",","")),0)</f>
        <v>0</v>
      </c>
      <c r="P111" s="56"/>
      <c r="Q111" s="56"/>
      <c r="R111" s="56" cm="1">
        <f t="array" ref="R111">_xlfn.LET(_xlpm.x,_xlfn.XLOOKUP(A111,Dashboard!$M$61:$M$72,Dashboard!$J$61:$J$72,""),IF(_xlpm.x&lt;&gt;"",_xlpm.x,M111))</f>
        <v>0</v>
      </c>
      <c r="S111" s="341" t="str" cm="1">
        <f t="array" ref="S111">_xlfn.LET(_xlpm.x,_xlfn.XLOOKUP(A111,Dashboard!$M$61:$M$72,Dashboard!$K$61:$K$72,""),_xlpm.orig,N111,IF(_xlpm.x&lt;&gt;"",_xlpm.x,IF(OR(_xlpm.orig="",_xlpm.orig=0),"",_xlpm.orig)))</f>
        <v/>
      </c>
    </row>
    <row r="112" spans="1:19" ht="12.75">
      <c r="A112" s="5" t="s">
        <v>378</v>
      </c>
      <c r="B112" s="56"/>
      <c r="C112" s="38"/>
      <c r="D112" s="32">
        <f>_xlfn.XLOOKUP(Projects_Follow_UP[[#This Row],[Client Name]],'Hot Leads'!A:A,'Hot Leads'!B:B,0,0)</f>
        <v>0</v>
      </c>
      <c r="E112" s="32">
        <f>_xlfn.XLOOKUP(Projects_Follow_UP[[#This Row],[Client Phone Number]],'Hot Leads'!B:B,'Hot Leads'!C:C,0,0)</f>
        <v>0</v>
      </c>
      <c r="F112" s="32">
        <f>_xlfn.XLOOKUP(Projects_Follow_UP[[#This Row],[Client Name]],'Hot Leads'!A:A,'Hot Leads'!F:F, ,0)</f>
        <v>0</v>
      </c>
      <c r="G112" s="56"/>
      <c r="H112" s="56"/>
      <c r="I112" s="39"/>
      <c r="J112" s="56"/>
      <c r="L112" s="56"/>
      <c r="M112" s="39"/>
      <c r="N112" s="56"/>
      <c r="O112" s="57">
        <f>IFERROR(VALUE(SUBSTITUTE(TRIM(SUBSTITUTE(Projects_Follow_UP[[#This Row],[Est. value]],"SAR","")),",","")),0)</f>
        <v>0</v>
      </c>
      <c r="P112" s="56"/>
      <c r="Q112" s="56"/>
      <c r="R112" s="56" cm="1">
        <f t="array" ref="R112">_xlfn.LET(_xlpm.x,_xlfn.XLOOKUP(A112,Dashboard!$M$61:$M$72,Dashboard!$J$61:$J$72,""),IF(_xlpm.x&lt;&gt;"",_xlpm.x,M112))</f>
        <v>0</v>
      </c>
      <c r="S112" s="341" t="str" cm="1">
        <f t="array" ref="S112">_xlfn.LET(_xlpm.x,_xlfn.XLOOKUP(A112,Dashboard!$M$61:$M$72,Dashboard!$K$61:$K$72,""),_xlpm.orig,N112,IF(_xlpm.x&lt;&gt;"",_xlpm.x,IF(OR(_xlpm.orig="",_xlpm.orig=0),"",_xlpm.orig)))</f>
        <v/>
      </c>
    </row>
    <row r="113" spans="1:19" ht="12.75">
      <c r="A113" s="5" t="s">
        <v>379</v>
      </c>
      <c r="B113" s="56"/>
      <c r="C113" s="38"/>
      <c r="D113" s="32">
        <f>_xlfn.XLOOKUP(Projects_Follow_UP[[#This Row],[Client Name]],'Hot Leads'!A:A,'Hot Leads'!B:B,0,0)</f>
        <v>0</v>
      </c>
      <c r="E113" s="32">
        <f>_xlfn.XLOOKUP(Projects_Follow_UP[[#This Row],[Client Phone Number]],'Hot Leads'!B:B,'Hot Leads'!C:C,0,0)</f>
        <v>0</v>
      </c>
      <c r="F113" s="32">
        <f>_xlfn.XLOOKUP(Projects_Follow_UP[[#This Row],[Client Name]],'Hot Leads'!A:A,'Hot Leads'!F:F, ,0)</f>
        <v>0</v>
      </c>
      <c r="G113" s="56"/>
      <c r="H113" s="56"/>
      <c r="I113" s="39"/>
      <c r="J113" s="56"/>
      <c r="L113" s="56"/>
      <c r="M113" s="39"/>
      <c r="N113" s="56"/>
      <c r="O113" s="57">
        <f>IFERROR(VALUE(SUBSTITUTE(TRIM(SUBSTITUTE(Projects_Follow_UP[[#This Row],[Est. value]],"SAR","")),",","")),0)</f>
        <v>0</v>
      </c>
      <c r="P113" s="56"/>
      <c r="Q113" s="56"/>
      <c r="R113" s="56" cm="1">
        <f t="array" ref="R113">_xlfn.LET(_xlpm.x,_xlfn.XLOOKUP(A113,Dashboard!$M$61:$M$72,Dashboard!$J$61:$J$72,""),IF(_xlpm.x&lt;&gt;"",_xlpm.x,M113))</f>
        <v>0</v>
      </c>
      <c r="S113" s="341" t="str" cm="1">
        <f t="array" ref="S113">_xlfn.LET(_xlpm.x,_xlfn.XLOOKUP(A113,Dashboard!$M$61:$M$72,Dashboard!$K$61:$K$72,""),_xlpm.orig,N113,IF(_xlpm.x&lt;&gt;"",_xlpm.x,IF(OR(_xlpm.orig="",_xlpm.orig=0),"",_xlpm.orig)))</f>
        <v/>
      </c>
    </row>
    <row r="114" spans="1:19" ht="12.75">
      <c r="A114" s="5" t="s">
        <v>380</v>
      </c>
      <c r="B114" s="56"/>
      <c r="C114" s="38"/>
      <c r="D114" s="32">
        <f>_xlfn.XLOOKUP(Projects_Follow_UP[[#This Row],[Client Name]],'Hot Leads'!A:A,'Hot Leads'!B:B,0,0)</f>
        <v>0</v>
      </c>
      <c r="E114" s="32">
        <f>_xlfn.XLOOKUP(Projects_Follow_UP[[#This Row],[Client Phone Number]],'Hot Leads'!B:B,'Hot Leads'!C:C,0,0)</f>
        <v>0</v>
      </c>
      <c r="F114" s="32">
        <f>_xlfn.XLOOKUP(Projects_Follow_UP[[#This Row],[Client Name]],'Hot Leads'!A:A,'Hot Leads'!F:F, ,0)</f>
        <v>0</v>
      </c>
      <c r="G114" s="56"/>
      <c r="H114" s="56"/>
      <c r="I114" s="39"/>
      <c r="J114" s="56"/>
      <c r="L114" s="56"/>
      <c r="M114" s="39"/>
      <c r="N114" s="56"/>
      <c r="O114" s="57">
        <f>IFERROR(VALUE(SUBSTITUTE(TRIM(SUBSTITUTE(Projects_Follow_UP[[#This Row],[Est. value]],"SAR","")),",","")),0)</f>
        <v>0</v>
      </c>
      <c r="P114" s="56"/>
      <c r="Q114" s="56"/>
      <c r="R114" s="56" cm="1">
        <f t="array" ref="R114">_xlfn.LET(_xlpm.x,_xlfn.XLOOKUP(A114,Dashboard!$M$61:$M$72,Dashboard!$J$61:$J$72,""),IF(_xlpm.x&lt;&gt;"",_xlpm.x,M114))</f>
        <v>0</v>
      </c>
      <c r="S114" s="341" t="str" cm="1">
        <f t="array" ref="S114">_xlfn.LET(_xlpm.x,_xlfn.XLOOKUP(A114,Dashboard!$M$61:$M$72,Dashboard!$K$61:$K$72,""),_xlpm.orig,N114,IF(_xlpm.x&lt;&gt;"",_xlpm.x,IF(OR(_xlpm.orig="",_xlpm.orig=0),"",_xlpm.orig)))</f>
        <v/>
      </c>
    </row>
    <row r="115" spans="1:19" ht="12.75">
      <c r="A115" s="5" t="s">
        <v>381</v>
      </c>
      <c r="B115" s="56"/>
      <c r="C115" s="38"/>
      <c r="D115" s="32">
        <f>_xlfn.XLOOKUP(Projects_Follow_UP[[#This Row],[Client Name]],'Hot Leads'!A:A,'Hot Leads'!B:B,0,0)</f>
        <v>0</v>
      </c>
      <c r="E115" s="32">
        <f>_xlfn.XLOOKUP(Projects_Follow_UP[[#This Row],[Client Phone Number]],'Hot Leads'!B:B,'Hot Leads'!C:C,0,0)</f>
        <v>0</v>
      </c>
      <c r="F115" s="32">
        <f>_xlfn.XLOOKUP(Projects_Follow_UP[[#This Row],[Client Name]],'Hot Leads'!A:A,'Hot Leads'!F:F, ,0)</f>
        <v>0</v>
      </c>
      <c r="G115" s="56"/>
      <c r="H115" s="56"/>
      <c r="I115" s="39"/>
      <c r="J115" s="56"/>
      <c r="L115" s="56"/>
      <c r="M115" s="39"/>
      <c r="N115" s="56"/>
      <c r="O115" s="57">
        <f>IFERROR(VALUE(SUBSTITUTE(TRIM(SUBSTITUTE(Projects_Follow_UP[[#This Row],[Est. value]],"SAR","")),",","")),0)</f>
        <v>0</v>
      </c>
      <c r="P115" s="56"/>
      <c r="Q115" s="56"/>
      <c r="R115" s="56" cm="1">
        <f t="array" ref="R115">_xlfn.LET(_xlpm.x,_xlfn.XLOOKUP(A115,Dashboard!$M$61:$M$72,Dashboard!$J$61:$J$72,""),IF(_xlpm.x&lt;&gt;"",_xlpm.x,M115))</f>
        <v>0</v>
      </c>
      <c r="S115" s="341" t="str" cm="1">
        <f t="array" ref="S115">_xlfn.LET(_xlpm.x,_xlfn.XLOOKUP(A115,Dashboard!$M$61:$M$72,Dashboard!$K$61:$K$72,""),_xlpm.orig,N115,IF(_xlpm.x&lt;&gt;"",_xlpm.x,IF(OR(_xlpm.orig="",_xlpm.orig=0),"",_xlpm.orig)))</f>
        <v/>
      </c>
    </row>
    <row r="116" spans="1:19" ht="12.75">
      <c r="A116" s="5" t="s">
        <v>382</v>
      </c>
      <c r="B116" s="56"/>
      <c r="C116" s="38"/>
      <c r="D116" s="32">
        <f>_xlfn.XLOOKUP(Projects_Follow_UP[[#This Row],[Client Name]],'Hot Leads'!A:A,'Hot Leads'!B:B,0,0)</f>
        <v>0</v>
      </c>
      <c r="E116" s="32">
        <f>_xlfn.XLOOKUP(Projects_Follow_UP[[#This Row],[Client Phone Number]],'Hot Leads'!B:B,'Hot Leads'!C:C,0,0)</f>
        <v>0</v>
      </c>
      <c r="F116" s="32">
        <f>_xlfn.XLOOKUP(Projects_Follow_UP[[#This Row],[Client Name]],'Hot Leads'!A:A,'Hot Leads'!F:F, ,0)</f>
        <v>0</v>
      </c>
      <c r="G116" s="56"/>
      <c r="H116" s="56"/>
      <c r="I116" s="39"/>
      <c r="J116" s="56"/>
      <c r="L116" s="56"/>
      <c r="M116" s="39"/>
      <c r="N116" s="56"/>
      <c r="O116" s="57">
        <f>IFERROR(VALUE(SUBSTITUTE(TRIM(SUBSTITUTE(Projects_Follow_UP[[#This Row],[Est. value]],"SAR","")),",","")),0)</f>
        <v>0</v>
      </c>
      <c r="P116" s="56"/>
      <c r="Q116" s="56"/>
      <c r="R116" s="56" cm="1">
        <f t="array" ref="R116">_xlfn.LET(_xlpm.x,_xlfn.XLOOKUP(A116,Dashboard!$M$61:$M$72,Dashboard!$J$61:$J$72,""),IF(_xlpm.x&lt;&gt;"",_xlpm.x,M116))</f>
        <v>0</v>
      </c>
      <c r="S116" s="341" t="str" cm="1">
        <f t="array" ref="S116">_xlfn.LET(_xlpm.x,_xlfn.XLOOKUP(A116,Dashboard!$M$61:$M$72,Dashboard!$K$61:$K$72,""),_xlpm.orig,N116,IF(_xlpm.x&lt;&gt;"",_xlpm.x,IF(OR(_xlpm.orig="",_xlpm.orig=0),"",_xlpm.orig)))</f>
        <v/>
      </c>
    </row>
    <row r="117" spans="1:19" ht="12.75">
      <c r="A117" s="5" t="s">
        <v>383</v>
      </c>
      <c r="B117" s="56"/>
      <c r="C117" s="38"/>
      <c r="D117" s="32">
        <f>_xlfn.XLOOKUP(Projects_Follow_UP[[#This Row],[Client Name]],'Hot Leads'!A:A,'Hot Leads'!B:B,0,0)</f>
        <v>0</v>
      </c>
      <c r="E117" s="32">
        <f>_xlfn.XLOOKUP(Projects_Follow_UP[[#This Row],[Client Phone Number]],'Hot Leads'!B:B,'Hot Leads'!C:C,0,0)</f>
        <v>0</v>
      </c>
      <c r="F117" s="32">
        <f>_xlfn.XLOOKUP(Projects_Follow_UP[[#This Row],[Client Name]],'Hot Leads'!A:A,'Hot Leads'!F:F, ,0)</f>
        <v>0</v>
      </c>
      <c r="G117" s="56"/>
      <c r="H117" s="56"/>
      <c r="I117" s="39"/>
      <c r="J117" s="56"/>
      <c r="L117" s="56"/>
      <c r="M117" s="39"/>
      <c r="N117" s="56"/>
      <c r="O117" s="57">
        <f>IFERROR(VALUE(SUBSTITUTE(TRIM(SUBSTITUTE(Projects_Follow_UP[[#This Row],[Est. value]],"SAR","")),",","")),0)</f>
        <v>0</v>
      </c>
      <c r="P117" s="56"/>
      <c r="Q117" s="56"/>
      <c r="R117" s="56" cm="1">
        <f t="array" ref="R117">_xlfn.LET(_xlpm.x,_xlfn.XLOOKUP(A117,Dashboard!$M$61:$M$72,Dashboard!$J$61:$J$72,""),IF(_xlpm.x&lt;&gt;"",_xlpm.x,M117))</f>
        <v>0</v>
      </c>
      <c r="S117" s="341" t="str" cm="1">
        <f t="array" ref="S117">_xlfn.LET(_xlpm.x,_xlfn.XLOOKUP(A117,Dashboard!$M$61:$M$72,Dashboard!$K$61:$K$72,""),_xlpm.orig,N117,IF(_xlpm.x&lt;&gt;"",_xlpm.x,IF(OR(_xlpm.orig="",_xlpm.orig=0),"",_xlpm.orig)))</f>
        <v/>
      </c>
    </row>
    <row r="118" spans="1:19" ht="12.75">
      <c r="A118" s="5" t="s">
        <v>384</v>
      </c>
      <c r="B118" s="56"/>
      <c r="C118" s="38"/>
      <c r="D118" s="32">
        <f>_xlfn.XLOOKUP(Projects_Follow_UP[[#This Row],[Client Name]],'Hot Leads'!A:A,'Hot Leads'!B:B,0,0)</f>
        <v>0</v>
      </c>
      <c r="E118" s="32">
        <f>_xlfn.XLOOKUP(Projects_Follow_UP[[#This Row],[Client Phone Number]],'Hot Leads'!B:B,'Hot Leads'!C:C,0,0)</f>
        <v>0</v>
      </c>
      <c r="F118" s="32">
        <f>_xlfn.XLOOKUP(Projects_Follow_UP[[#This Row],[Client Name]],'Hot Leads'!A:A,'Hot Leads'!F:F, ,0)</f>
        <v>0</v>
      </c>
      <c r="G118" s="56"/>
      <c r="H118" s="56"/>
      <c r="I118" s="39"/>
      <c r="J118" s="56"/>
      <c r="L118" s="56"/>
      <c r="M118" s="39"/>
      <c r="N118" s="56"/>
      <c r="O118" s="57">
        <f>IFERROR(VALUE(SUBSTITUTE(TRIM(SUBSTITUTE(Projects_Follow_UP[[#This Row],[Est. value]],"SAR","")),",","")),0)</f>
        <v>0</v>
      </c>
      <c r="P118" s="56"/>
      <c r="Q118" s="56"/>
      <c r="R118" s="56" cm="1">
        <f t="array" ref="R118">_xlfn.LET(_xlpm.x,_xlfn.XLOOKUP(A118,Dashboard!$M$61:$M$72,Dashboard!$J$61:$J$72,""),IF(_xlpm.x&lt;&gt;"",_xlpm.x,M118))</f>
        <v>0</v>
      </c>
      <c r="S118" s="341" t="str" cm="1">
        <f t="array" ref="S118">_xlfn.LET(_xlpm.x,_xlfn.XLOOKUP(A118,Dashboard!$M$61:$M$72,Dashboard!$K$61:$K$72,""),_xlpm.orig,N118,IF(_xlpm.x&lt;&gt;"",_xlpm.x,IF(OR(_xlpm.orig="",_xlpm.orig=0),"",_xlpm.orig)))</f>
        <v/>
      </c>
    </row>
    <row r="119" spans="1:19" ht="12.75">
      <c r="A119" s="5" t="s">
        <v>385</v>
      </c>
      <c r="B119" s="56"/>
      <c r="C119" s="38"/>
      <c r="D119" s="32">
        <f>_xlfn.XLOOKUP(Projects_Follow_UP[[#This Row],[Client Name]],'Hot Leads'!A:A,'Hot Leads'!B:B,0,0)</f>
        <v>0</v>
      </c>
      <c r="E119" s="32">
        <f>_xlfn.XLOOKUP(Projects_Follow_UP[[#This Row],[Client Phone Number]],'Hot Leads'!B:B,'Hot Leads'!C:C,0,0)</f>
        <v>0</v>
      </c>
      <c r="F119" s="32">
        <f>_xlfn.XLOOKUP(Projects_Follow_UP[[#This Row],[Client Name]],'Hot Leads'!A:A,'Hot Leads'!F:F, ,0)</f>
        <v>0</v>
      </c>
      <c r="G119" s="56"/>
      <c r="H119" s="56"/>
      <c r="I119" s="39"/>
      <c r="J119" s="56"/>
      <c r="L119" s="56"/>
      <c r="M119" s="39"/>
      <c r="N119" s="56"/>
      <c r="O119" s="57">
        <f>IFERROR(VALUE(SUBSTITUTE(TRIM(SUBSTITUTE(Projects_Follow_UP[[#This Row],[Est. value]],"SAR","")),",","")),0)</f>
        <v>0</v>
      </c>
      <c r="P119" s="56"/>
      <c r="Q119" s="56"/>
      <c r="R119" s="56" cm="1">
        <f t="array" ref="R119">_xlfn.LET(_xlpm.x,_xlfn.XLOOKUP(A119,Dashboard!$M$61:$M$72,Dashboard!$J$61:$J$72,""),IF(_xlpm.x&lt;&gt;"",_xlpm.x,M119))</f>
        <v>0</v>
      </c>
      <c r="S119" s="341" t="str" cm="1">
        <f t="array" ref="S119">_xlfn.LET(_xlpm.x,_xlfn.XLOOKUP(A119,Dashboard!$M$61:$M$72,Dashboard!$K$61:$K$72,""),_xlpm.orig,N119,IF(_xlpm.x&lt;&gt;"",_xlpm.x,IF(OR(_xlpm.orig="",_xlpm.orig=0),"",_xlpm.orig)))</f>
        <v/>
      </c>
    </row>
    <row r="120" spans="1:19" ht="12.75">
      <c r="A120" s="5" t="s">
        <v>386</v>
      </c>
      <c r="B120" s="56"/>
      <c r="C120" s="38"/>
      <c r="D120" s="32">
        <f>_xlfn.XLOOKUP(Projects_Follow_UP[[#This Row],[Client Name]],'Hot Leads'!A:A,'Hot Leads'!B:B,0,0)</f>
        <v>0</v>
      </c>
      <c r="E120" s="32">
        <f>_xlfn.XLOOKUP(Projects_Follow_UP[[#This Row],[Client Phone Number]],'Hot Leads'!B:B,'Hot Leads'!C:C,0,0)</f>
        <v>0</v>
      </c>
      <c r="F120" s="32">
        <f>_xlfn.XLOOKUP(Projects_Follow_UP[[#This Row],[Client Name]],'Hot Leads'!A:A,'Hot Leads'!F:F, ,0)</f>
        <v>0</v>
      </c>
      <c r="G120" s="56"/>
      <c r="H120" s="56"/>
      <c r="I120" s="39"/>
      <c r="J120" s="56"/>
      <c r="L120" s="56"/>
      <c r="M120" s="39"/>
      <c r="N120" s="56"/>
      <c r="O120" s="57">
        <f>IFERROR(VALUE(SUBSTITUTE(TRIM(SUBSTITUTE(Projects_Follow_UP[[#This Row],[Est. value]],"SAR","")),",","")),0)</f>
        <v>0</v>
      </c>
      <c r="P120" s="56"/>
      <c r="Q120" s="56"/>
      <c r="R120" s="56" cm="1">
        <f t="array" ref="R120">_xlfn.LET(_xlpm.x,_xlfn.XLOOKUP(A120,Dashboard!$M$61:$M$72,Dashboard!$J$61:$J$72,""),IF(_xlpm.x&lt;&gt;"",_xlpm.x,M120))</f>
        <v>0</v>
      </c>
      <c r="S120" s="341" t="str" cm="1">
        <f t="array" ref="S120">_xlfn.LET(_xlpm.x,_xlfn.XLOOKUP(A120,Dashboard!$M$61:$M$72,Dashboard!$K$61:$K$72,""),_xlpm.orig,N120,IF(_xlpm.x&lt;&gt;"",_xlpm.x,IF(OR(_xlpm.orig="",_xlpm.orig=0),"",_xlpm.orig)))</f>
        <v/>
      </c>
    </row>
    <row r="121" spans="1:19" ht="12.75">
      <c r="A121" s="5" t="s">
        <v>387</v>
      </c>
      <c r="B121" s="56"/>
      <c r="C121" s="38"/>
      <c r="D121" s="32">
        <f>_xlfn.XLOOKUP(Projects_Follow_UP[[#This Row],[Client Name]],'Hot Leads'!A:A,'Hot Leads'!B:B,0,0)</f>
        <v>0</v>
      </c>
      <c r="E121" s="32">
        <f>_xlfn.XLOOKUP(Projects_Follow_UP[[#This Row],[Client Phone Number]],'Hot Leads'!B:B,'Hot Leads'!C:C,0,0)</f>
        <v>0</v>
      </c>
      <c r="F121" s="32">
        <f>_xlfn.XLOOKUP(Projects_Follow_UP[[#This Row],[Client Name]],'Hot Leads'!A:A,'Hot Leads'!F:F, ,0)</f>
        <v>0</v>
      </c>
      <c r="G121" s="56"/>
      <c r="H121" s="56"/>
      <c r="I121" s="39"/>
      <c r="J121" s="56"/>
      <c r="L121" s="56"/>
      <c r="M121" s="39"/>
      <c r="N121" s="56"/>
      <c r="O121" s="57">
        <f>IFERROR(VALUE(SUBSTITUTE(TRIM(SUBSTITUTE(Projects_Follow_UP[[#This Row],[Est. value]],"SAR","")),",","")),0)</f>
        <v>0</v>
      </c>
      <c r="P121" s="56"/>
      <c r="Q121" s="56"/>
      <c r="R121" s="56" cm="1">
        <f t="array" ref="R121">_xlfn.LET(_xlpm.x,_xlfn.XLOOKUP(A121,Dashboard!$M$61:$M$72,Dashboard!$J$61:$J$72,""),IF(_xlpm.x&lt;&gt;"",_xlpm.x,M121))</f>
        <v>0</v>
      </c>
      <c r="S121" s="341" t="str" cm="1">
        <f t="array" ref="S121">_xlfn.LET(_xlpm.x,_xlfn.XLOOKUP(A121,Dashboard!$M$61:$M$72,Dashboard!$K$61:$K$72,""),_xlpm.orig,N121,IF(_xlpm.x&lt;&gt;"",_xlpm.x,IF(OR(_xlpm.orig="",_xlpm.orig=0),"",_xlpm.orig)))</f>
        <v/>
      </c>
    </row>
    <row r="122" spans="1:19" ht="12.75">
      <c r="A122" s="5" t="s">
        <v>388</v>
      </c>
      <c r="B122" s="56"/>
      <c r="C122" s="38"/>
      <c r="D122" s="32">
        <f>_xlfn.XLOOKUP(Projects_Follow_UP[[#This Row],[Client Name]],'Hot Leads'!A:A,'Hot Leads'!B:B,0,0)</f>
        <v>0</v>
      </c>
      <c r="E122" s="32">
        <f>_xlfn.XLOOKUP(Projects_Follow_UP[[#This Row],[Client Phone Number]],'Hot Leads'!B:B,'Hot Leads'!C:C,0,0)</f>
        <v>0</v>
      </c>
      <c r="F122" s="32">
        <f>_xlfn.XLOOKUP(Projects_Follow_UP[[#This Row],[Client Name]],'Hot Leads'!A:A,'Hot Leads'!F:F, ,0)</f>
        <v>0</v>
      </c>
      <c r="G122" s="56"/>
      <c r="H122" s="56"/>
      <c r="I122" s="39"/>
      <c r="J122" s="56"/>
      <c r="L122" s="56"/>
      <c r="M122" s="39"/>
      <c r="N122" s="56"/>
      <c r="O122" s="57">
        <f>IFERROR(VALUE(SUBSTITUTE(TRIM(SUBSTITUTE(Projects_Follow_UP[[#This Row],[Est. value]],"SAR","")),",","")),0)</f>
        <v>0</v>
      </c>
      <c r="P122" s="56"/>
      <c r="Q122" s="56"/>
      <c r="R122" s="56" cm="1">
        <f t="array" ref="R122">_xlfn.LET(_xlpm.x,_xlfn.XLOOKUP(A122,Dashboard!$M$61:$M$72,Dashboard!$J$61:$J$72,""),IF(_xlpm.x&lt;&gt;"",_xlpm.x,M122))</f>
        <v>0</v>
      </c>
      <c r="S122" s="341" t="str" cm="1">
        <f t="array" ref="S122">_xlfn.LET(_xlpm.x,_xlfn.XLOOKUP(A122,Dashboard!$M$61:$M$72,Dashboard!$K$61:$K$72,""),_xlpm.orig,N122,IF(_xlpm.x&lt;&gt;"",_xlpm.x,IF(OR(_xlpm.orig="",_xlpm.orig=0),"",_xlpm.orig)))</f>
        <v/>
      </c>
    </row>
    <row r="123" spans="1:19" ht="12.75">
      <c r="A123" s="5" t="s">
        <v>389</v>
      </c>
      <c r="B123" s="56"/>
      <c r="C123" s="38"/>
      <c r="D123" s="32">
        <f>_xlfn.XLOOKUP(Projects_Follow_UP[[#This Row],[Client Name]],'Hot Leads'!A:A,'Hot Leads'!B:B,0,0)</f>
        <v>0</v>
      </c>
      <c r="E123" s="32">
        <f>_xlfn.XLOOKUP(Projects_Follow_UP[[#This Row],[Client Phone Number]],'Hot Leads'!B:B,'Hot Leads'!C:C,0,0)</f>
        <v>0</v>
      </c>
      <c r="F123" s="32">
        <f>_xlfn.XLOOKUP(Projects_Follow_UP[[#This Row],[Client Name]],'Hot Leads'!A:A,'Hot Leads'!F:F, ,0)</f>
        <v>0</v>
      </c>
      <c r="G123" s="56"/>
      <c r="H123" s="56"/>
      <c r="I123" s="39"/>
      <c r="J123" s="56"/>
      <c r="L123" s="56"/>
      <c r="M123" s="39"/>
      <c r="N123" s="56"/>
      <c r="O123" s="57">
        <f>IFERROR(VALUE(SUBSTITUTE(TRIM(SUBSTITUTE(Projects_Follow_UP[[#This Row],[Est. value]],"SAR","")),",","")),0)</f>
        <v>0</v>
      </c>
      <c r="P123" s="56"/>
      <c r="Q123" s="56"/>
      <c r="R123" s="56" cm="1">
        <f t="array" ref="R123">_xlfn.LET(_xlpm.x,_xlfn.XLOOKUP(A123,Dashboard!$M$61:$M$72,Dashboard!$J$61:$J$72,""),IF(_xlpm.x&lt;&gt;"",_xlpm.x,M123))</f>
        <v>0</v>
      </c>
      <c r="S123" s="341" t="str" cm="1">
        <f t="array" ref="S123">_xlfn.LET(_xlpm.x,_xlfn.XLOOKUP(A123,Dashboard!$M$61:$M$72,Dashboard!$K$61:$K$72,""),_xlpm.orig,N123,IF(_xlpm.x&lt;&gt;"",_xlpm.x,IF(OR(_xlpm.orig="",_xlpm.orig=0),"",_xlpm.orig)))</f>
        <v/>
      </c>
    </row>
    <row r="124" spans="1:19" ht="12.75">
      <c r="A124" s="5" t="s">
        <v>390</v>
      </c>
      <c r="B124" s="56"/>
      <c r="C124" s="38"/>
      <c r="D124" s="32">
        <f>_xlfn.XLOOKUP(Projects_Follow_UP[[#This Row],[Client Name]],'Hot Leads'!A:A,'Hot Leads'!B:B,0,0)</f>
        <v>0</v>
      </c>
      <c r="E124" s="32">
        <f>_xlfn.XLOOKUP(Projects_Follow_UP[[#This Row],[Client Phone Number]],'Hot Leads'!B:B,'Hot Leads'!C:C,0,0)</f>
        <v>0</v>
      </c>
      <c r="F124" s="32">
        <f>_xlfn.XLOOKUP(Projects_Follow_UP[[#This Row],[Client Name]],'Hot Leads'!A:A,'Hot Leads'!F:F, ,0)</f>
        <v>0</v>
      </c>
      <c r="G124" s="56"/>
      <c r="H124" s="56"/>
      <c r="I124" s="39"/>
      <c r="J124" s="56"/>
      <c r="L124" s="56"/>
      <c r="M124" s="39"/>
      <c r="N124" s="56"/>
      <c r="O124" s="57">
        <f>IFERROR(VALUE(SUBSTITUTE(TRIM(SUBSTITUTE(Projects_Follow_UP[[#This Row],[Est. value]],"SAR","")),",","")),0)</f>
        <v>0</v>
      </c>
      <c r="P124" s="56"/>
      <c r="Q124" s="56"/>
      <c r="R124" s="56" cm="1">
        <f t="array" ref="R124">_xlfn.LET(_xlpm.x,_xlfn.XLOOKUP(A124,Dashboard!$M$61:$M$72,Dashboard!$J$61:$J$72,""),IF(_xlpm.x&lt;&gt;"",_xlpm.x,M124))</f>
        <v>0</v>
      </c>
      <c r="S124" s="341" t="str" cm="1">
        <f t="array" ref="S124">_xlfn.LET(_xlpm.x,_xlfn.XLOOKUP(A124,Dashboard!$M$61:$M$72,Dashboard!$K$61:$K$72,""),_xlpm.orig,N124,IF(_xlpm.x&lt;&gt;"",_xlpm.x,IF(OR(_xlpm.orig="",_xlpm.orig=0),"",_xlpm.orig)))</f>
        <v/>
      </c>
    </row>
    <row r="125" spans="1:19" ht="12.75">
      <c r="A125" s="5" t="s">
        <v>391</v>
      </c>
      <c r="B125" s="56"/>
      <c r="C125" s="38"/>
      <c r="D125" s="32">
        <f>_xlfn.XLOOKUP(Projects_Follow_UP[[#This Row],[Client Name]],'Hot Leads'!A:A,'Hot Leads'!B:B,0,0)</f>
        <v>0</v>
      </c>
      <c r="E125" s="32">
        <f>_xlfn.XLOOKUP(Projects_Follow_UP[[#This Row],[Client Phone Number]],'Hot Leads'!B:B,'Hot Leads'!C:C,0,0)</f>
        <v>0</v>
      </c>
      <c r="F125" s="32">
        <f>_xlfn.XLOOKUP(Projects_Follow_UP[[#This Row],[Client Name]],'Hot Leads'!A:A,'Hot Leads'!F:F, ,0)</f>
        <v>0</v>
      </c>
      <c r="G125" s="56"/>
      <c r="H125" s="56"/>
      <c r="I125" s="39"/>
      <c r="J125" s="56"/>
      <c r="L125" s="56"/>
      <c r="M125" s="39"/>
      <c r="N125" s="56"/>
      <c r="O125" s="57">
        <f>IFERROR(VALUE(SUBSTITUTE(TRIM(SUBSTITUTE(Projects_Follow_UP[[#This Row],[Est. value]],"SAR","")),",","")),0)</f>
        <v>0</v>
      </c>
      <c r="P125" s="56"/>
      <c r="Q125" s="56"/>
      <c r="R125" s="56" cm="1">
        <f t="array" ref="R125">_xlfn.LET(_xlpm.x,_xlfn.XLOOKUP(A125,Dashboard!$M$61:$M$72,Dashboard!$J$61:$J$72,""),IF(_xlpm.x&lt;&gt;"",_xlpm.x,M125))</f>
        <v>0</v>
      </c>
      <c r="S125" s="341" t="str" cm="1">
        <f t="array" ref="S125">_xlfn.LET(_xlpm.x,_xlfn.XLOOKUP(A125,Dashboard!$M$61:$M$72,Dashboard!$K$61:$K$72,""),_xlpm.orig,N125,IF(_xlpm.x&lt;&gt;"",_xlpm.x,IF(OR(_xlpm.orig="",_xlpm.orig=0),"",_xlpm.orig)))</f>
        <v/>
      </c>
    </row>
    <row r="126" spans="1:19" ht="12.75">
      <c r="A126" s="5" t="s">
        <v>392</v>
      </c>
      <c r="B126" s="56"/>
      <c r="C126" s="38"/>
      <c r="D126" s="32">
        <f>_xlfn.XLOOKUP(Projects_Follow_UP[[#This Row],[Client Name]],'Hot Leads'!A:A,'Hot Leads'!B:B,0,0)</f>
        <v>0</v>
      </c>
      <c r="E126" s="32">
        <f>_xlfn.XLOOKUP(Projects_Follow_UP[[#This Row],[Client Phone Number]],'Hot Leads'!B:B,'Hot Leads'!C:C,0,0)</f>
        <v>0</v>
      </c>
      <c r="F126" s="32">
        <f>_xlfn.XLOOKUP(Projects_Follow_UP[[#This Row],[Client Name]],'Hot Leads'!A:A,'Hot Leads'!F:F, ,0)</f>
        <v>0</v>
      </c>
      <c r="G126" s="56"/>
      <c r="H126" s="56"/>
      <c r="I126" s="39"/>
      <c r="J126" s="56"/>
      <c r="L126" s="56"/>
      <c r="M126" s="39"/>
      <c r="N126" s="56"/>
      <c r="O126" s="57">
        <f>IFERROR(VALUE(SUBSTITUTE(TRIM(SUBSTITUTE(Projects_Follow_UP[[#This Row],[Est. value]],"SAR","")),",","")),0)</f>
        <v>0</v>
      </c>
      <c r="P126" s="56"/>
      <c r="Q126" s="56"/>
      <c r="R126" s="56" cm="1">
        <f t="array" ref="R126">_xlfn.LET(_xlpm.x,_xlfn.XLOOKUP(A126,Dashboard!$M$61:$M$72,Dashboard!$J$61:$J$72,""),IF(_xlpm.x&lt;&gt;"",_xlpm.x,M126))</f>
        <v>0</v>
      </c>
      <c r="S126" s="341" t="str" cm="1">
        <f t="array" ref="S126">_xlfn.LET(_xlpm.x,_xlfn.XLOOKUP(A126,Dashboard!$M$61:$M$72,Dashboard!$K$61:$K$72,""),_xlpm.orig,N126,IF(_xlpm.x&lt;&gt;"",_xlpm.x,IF(OR(_xlpm.orig="",_xlpm.orig=0),"",_xlpm.orig)))</f>
        <v/>
      </c>
    </row>
    <row r="127" spans="1:19" ht="12.75">
      <c r="A127" s="5" t="s">
        <v>393</v>
      </c>
      <c r="B127" s="56"/>
      <c r="C127" s="38"/>
      <c r="D127" s="32">
        <f>_xlfn.XLOOKUP(Projects_Follow_UP[[#This Row],[Client Name]],'Hot Leads'!A:A,'Hot Leads'!B:B,0,0)</f>
        <v>0</v>
      </c>
      <c r="E127" s="32">
        <f>_xlfn.XLOOKUP(Projects_Follow_UP[[#This Row],[Client Phone Number]],'Hot Leads'!B:B,'Hot Leads'!C:C,0,0)</f>
        <v>0</v>
      </c>
      <c r="F127" s="32">
        <f>_xlfn.XLOOKUP(Projects_Follow_UP[[#This Row],[Client Name]],'Hot Leads'!A:A,'Hot Leads'!F:F, ,0)</f>
        <v>0</v>
      </c>
      <c r="G127" s="56"/>
      <c r="H127" s="56"/>
      <c r="I127" s="39"/>
      <c r="J127" s="56"/>
      <c r="L127" s="56"/>
      <c r="M127" s="39"/>
      <c r="N127" s="56"/>
      <c r="O127" s="57">
        <f>IFERROR(VALUE(SUBSTITUTE(TRIM(SUBSTITUTE(Projects_Follow_UP[[#This Row],[Est. value]],"SAR","")),",","")),0)</f>
        <v>0</v>
      </c>
      <c r="P127" s="56"/>
      <c r="Q127" s="56"/>
      <c r="R127" s="56" cm="1">
        <f t="array" ref="R127">_xlfn.LET(_xlpm.x,_xlfn.XLOOKUP(A127,Dashboard!$M$61:$M$72,Dashboard!$J$61:$J$72,""),IF(_xlpm.x&lt;&gt;"",_xlpm.x,M127))</f>
        <v>0</v>
      </c>
      <c r="S127" s="341" t="str" cm="1">
        <f t="array" ref="S127">_xlfn.LET(_xlpm.x,_xlfn.XLOOKUP(A127,Dashboard!$M$61:$M$72,Dashboard!$K$61:$K$72,""),_xlpm.orig,N127,IF(_xlpm.x&lt;&gt;"",_xlpm.x,IF(OR(_xlpm.orig="",_xlpm.orig=0),"",_xlpm.orig)))</f>
        <v/>
      </c>
    </row>
    <row r="128" spans="1:19" ht="12.75">
      <c r="A128" s="5" t="s">
        <v>394</v>
      </c>
      <c r="B128" s="56"/>
      <c r="C128" s="38"/>
      <c r="D128" s="32">
        <f>_xlfn.XLOOKUP(Projects_Follow_UP[[#This Row],[Client Name]],'Hot Leads'!A:A,'Hot Leads'!B:B,0,0)</f>
        <v>0</v>
      </c>
      <c r="E128" s="32">
        <f>_xlfn.XLOOKUP(Projects_Follow_UP[[#This Row],[Client Phone Number]],'Hot Leads'!B:B,'Hot Leads'!C:C,0,0)</f>
        <v>0</v>
      </c>
      <c r="F128" s="32">
        <f>_xlfn.XLOOKUP(Projects_Follow_UP[[#This Row],[Client Name]],'Hot Leads'!A:A,'Hot Leads'!F:F, ,0)</f>
        <v>0</v>
      </c>
      <c r="G128" s="56"/>
      <c r="H128" s="56"/>
      <c r="I128" s="39"/>
      <c r="J128" s="56"/>
      <c r="L128" s="56"/>
      <c r="M128" s="39"/>
      <c r="N128" s="56"/>
      <c r="O128" s="57">
        <f>IFERROR(VALUE(SUBSTITUTE(TRIM(SUBSTITUTE(Projects_Follow_UP[[#This Row],[Est. value]],"SAR","")),",","")),0)</f>
        <v>0</v>
      </c>
      <c r="P128" s="56"/>
      <c r="Q128" s="56"/>
      <c r="R128" s="56" cm="1">
        <f t="array" ref="R128">_xlfn.LET(_xlpm.x,_xlfn.XLOOKUP(A128,Dashboard!$M$61:$M$72,Dashboard!$J$61:$J$72,""),IF(_xlpm.x&lt;&gt;"",_xlpm.x,M128))</f>
        <v>0</v>
      </c>
      <c r="S128" s="341" t="str" cm="1">
        <f t="array" ref="S128">_xlfn.LET(_xlpm.x,_xlfn.XLOOKUP(A128,Dashboard!$M$61:$M$72,Dashboard!$K$61:$K$72,""),_xlpm.orig,N128,IF(_xlpm.x&lt;&gt;"",_xlpm.x,IF(OR(_xlpm.orig="",_xlpm.orig=0),"",_xlpm.orig)))</f>
        <v/>
      </c>
    </row>
    <row r="129" spans="1:19" ht="12.75">
      <c r="A129" s="5" t="s">
        <v>395</v>
      </c>
      <c r="B129" s="56"/>
      <c r="C129" s="38"/>
      <c r="D129" s="32">
        <f>_xlfn.XLOOKUP(Projects_Follow_UP[[#This Row],[Client Name]],'Hot Leads'!A:A,'Hot Leads'!B:B,0,0)</f>
        <v>0</v>
      </c>
      <c r="E129" s="32">
        <f>_xlfn.XLOOKUP(Projects_Follow_UP[[#This Row],[Client Phone Number]],'Hot Leads'!B:B,'Hot Leads'!C:C,0,0)</f>
        <v>0</v>
      </c>
      <c r="F129" s="32">
        <f>_xlfn.XLOOKUP(Projects_Follow_UP[[#This Row],[Client Name]],'Hot Leads'!A:A,'Hot Leads'!F:F, ,0)</f>
        <v>0</v>
      </c>
      <c r="G129" s="56"/>
      <c r="H129" s="56"/>
      <c r="I129" s="39"/>
      <c r="J129" s="56"/>
      <c r="L129" s="56"/>
      <c r="M129" s="39"/>
      <c r="N129" s="56"/>
      <c r="O129" s="57">
        <f>IFERROR(VALUE(SUBSTITUTE(TRIM(SUBSTITUTE(Projects_Follow_UP[[#This Row],[Est. value]],"SAR","")),",","")),0)</f>
        <v>0</v>
      </c>
      <c r="P129" s="56"/>
      <c r="Q129" s="56"/>
      <c r="R129" s="56" cm="1">
        <f t="array" ref="R129">_xlfn.LET(_xlpm.x,_xlfn.XLOOKUP(A129,Dashboard!$M$61:$M$72,Dashboard!$J$61:$J$72,""),IF(_xlpm.x&lt;&gt;"",_xlpm.x,M129))</f>
        <v>0</v>
      </c>
      <c r="S129" s="341" t="str" cm="1">
        <f t="array" ref="S129">_xlfn.LET(_xlpm.x,_xlfn.XLOOKUP(A129,Dashboard!$M$61:$M$72,Dashboard!$K$61:$K$72,""),_xlpm.orig,N129,IF(_xlpm.x&lt;&gt;"",_xlpm.x,IF(OR(_xlpm.orig="",_xlpm.orig=0),"",_xlpm.orig)))</f>
        <v/>
      </c>
    </row>
    <row r="130" spans="1:19" ht="12.75">
      <c r="A130" s="5" t="s">
        <v>396</v>
      </c>
      <c r="B130" s="56"/>
      <c r="C130" s="38"/>
      <c r="D130" s="32">
        <f>_xlfn.XLOOKUP(Projects_Follow_UP[[#This Row],[Client Name]],'Hot Leads'!A:A,'Hot Leads'!B:B,0,0)</f>
        <v>0</v>
      </c>
      <c r="E130" s="32">
        <f>_xlfn.XLOOKUP(Projects_Follow_UP[[#This Row],[Client Phone Number]],'Hot Leads'!B:B,'Hot Leads'!C:C,0,0)</f>
        <v>0</v>
      </c>
      <c r="F130" s="32">
        <f>_xlfn.XLOOKUP(Projects_Follow_UP[[#This Row],[Client Name]],'Hot Leads'!A:A,'Hot Leads'!F:F, ,0)</f>
        <v>0</v>
      </c>
      <c r="G130" s="56"/>
      <c r="H130" s="56"/>
      <c r="I130" s="39"/>
      <c r="J130" s="56"/>
      <c r="L130" s="56"/>
      <c r="M130" s="39"/>
      <c r="N130" s="56"/>
      <c r="O130" s="57">
        <f>IFERROR(VALUE(SUBSTITUTE(TRIM(SUBSTITUTE(Projects_Follow_UP[[#This Row],[Est. value]],"SAR","")),",","")),0)</f>
        <v>0</v>
      </c>
      <c r="P130" s="56"/>
      <c r="Q130" s="56"/>
      <c r="R130" s="56" cm="1">
        <f t="array" ref="R130">_xlfn.LET(_xlpm.x,_xlfn.XLOOKUP(A130,Dashboard!$M$61:$M$72,Dashboard!$J$61:$J$72,""),IF(_xlpm.x&lt;&gt;"",_xlpm.x,M130))</f>
        <v>0</v>
      </c>
      <c r="S130" s="341" t="str" cm="1">
        <f t="array" ref="S130">_xlfn.LET(_xlpm.x,_xlfn.XLOOKUP(A130,Dashboard!$M$61:$M$72,Dashboard!$K$61:$K$72,""),_xlpm.orig,N130,IF(_xlpm.x&lt;&gt;"",_xlpm.x,IF(OR(_xlpm.orig="",_xlpm.orig=0),"",_xlpm.orig)))</f>
        <v/>
      </c>
    </row>
    <row r="131" spans="1:19" ht="12.75">
      <c r="A131" s="5" t="s">
        <v>397</v>
      </c>
      <c r="B131" s="56"/>
      <c r="C131" s="38"/>
      <c r="D131" s="32">
        <f>_xlfn.XLOOKUP(Projects_Follow_UP[[#This Row],[Client Name]],'Hot Leads'!A:A,'Hot Leads'!B:B,0,0)</f>
        <v>0</v>
      </c>
      <c r="E131" s="32">
        <f>_xlfn.XLOOKUP(Projects_Follow_UP[[#This Row],[Client Phone Number]],'Hot Leads'!B:B,'Hot Leads'!C:C,0,0)</f>
        <v>0</v>
      </c>
      <c r="F131" s="32">
        <f>_xlfn.XLOOKUP(Projects_Follow_UP[[#This Row],[Client Name]],'Hot Leads'!A:A,'Hot Leads'!F:F, ,0)</f>
        <v>0</v>
      </c>
      <c r="G131" s="56"/>
      <c r="H131" s="56"/>
      <c r="I131" s="39"/>
      <c r="J131" s="56"/>
      <c r="L131" s="56"/>
      <c r="M131" s="39"/>
      <c r="N131" s="56"/>
      <c r="O131" s="57">
        <f>IFERROR(VALUE(SUBSTITUTE(TRIM(SUBSTITUTE(Projects_Follow_UP[[#This Row],[Est. value]],"SAR","")),",","")),0)</f>
        <v>0</v>
      </c>
      <c r="P131" s="56"/>
      <c r="Q131" s="56"/>
      <c r="R131" s="56" cm="1">
        <f t="array" ref="R131">_xlfn.LET(_xlpm.x,_xlfn.XLOOKUP(A131,Dashboard!$M$61:$M$72,Dashboard!$J$61:$J$72,""),IF(_xlpm.x&lt;&gt;"",_xlpm.x,M131))</f>
        <v>0</v>
      </c>
      <c r="S131" s="341" t="str" cm="1">
        <f t="array" ref="S131">_xlfn.LET(_xlpm.x,_xlfn.XLOOKUP(A131,Dashboard!$M$61:$M$72,Dashboard!$K$61:$K$72,""),_xlpm.orig,N131,IF(_xlpm.x&lt;&gt;"",_xlpm.x,IF(OR(_xlpm.orig="",_xlpm.orig=0),"",_xlpm.orig)))</f>
        <v/>
      </c>
    </row>
    <row r="132" spans="1:19" ht="12.75">
      <c r="A132" s="5" t="s">
        <v>398</v>
      </c>
      <c r="B132" s="56"/>
      <c r="C132" s="38"/>
      <c r="D132" s="32">
        <f>_xlfn.XLOOKUP(Projects_Follow_UP[[#This Row],[Client Name]],'Hot Leads'!A:A,'Hot Leads'!B:B,0,0)</f>
        <v>0</v>
      </c>
      <c r="E132" s="32">
        <f>_xlfn.XLOOKUP(Projects_Follow_UP[[#This Row],[Client Phone Number]],'Hot Leads'!B:B,'Hot Leads'!C:C,0,0)</f>
        <v>0</v>
      </c>
      <c r="F132" s="32">
        <f>_xlfn.XLOOKUP(Projects_Follow_UP[[#This Row],[Client Name]],'Hot Leads'!A:A,'Hot Leads'!F:F, ,0)</f>
        <v>0</v>
      </c>
      <c r="G132" s="56"/>
      <c r="H132" s="56"/>
      <c r="I132" s="39"/>
      <c r="J132" s="56"/>
      <c r="L132" s="56"/>
      <c r="M132" s="39"/>
      <c r="N132" s="56"/>
      <c r="O132" s="57">
        <f>IFERROR(VALUE(SUBSTITUTE(TRIM(SUBSTITUTE(Projects_Follow_UP[[#This Row],[Est. value]],"SAR","")),",","")),0)</f>
        <v>0</v>
      </c>
      <c r="P132" s="56"/>
      <c r="Q132" s="56"/>
      <c r="R132" s="56" cm="1">
        <f t="array" ref="R132">_xlfn.LET(_xlpm.x,_xlfn.XLOOKUP(A132,Dashboard!$M$61:$M$72,Dashboard!$J$61:$J$72,""),IF(_xlpm.x&lt;&gt;"",_xlpm.x,M132))</f>
        <v>0</v>
      </c>
      <c r="S132" s="341" t="str" cm="1">
        <f t="array" ref="S132">_xlfn.LET(_xlpm.x,_xlfn.XLOOKUP(A132,Dashboard!$M$61:$M$72,Dashboard!$K$61:$K$72,""),_xlpm.orig,N132,IF(_xlpm.x&lt;&gt;"",_xlpm.x,IF(OR(_xlpm.orig="",_xlpm.orig=0),"",_xlpm.orig)))</f>
        <v/>
      </c>
    </row>
    <row r="133" spans="1:19" ht="12.75">
      <c r="A133" s="5" t="s">
        <v>399</v>
      </c>
      <c r="B133" s="56"/>
      <c r="C133" s="38"/>
      <c r="D133" s="32">
        <f>_xlfn.XLOOKUP(Projects_Follow_UP[[#This Row],[Client Name]],'Hot Leads'!A:A,'Hot Leads'!B:B,0,0)</f>
        <v>0</v>
      </c>
      <c r="E133" s="32">
        <f>_xlfn.XLOOKUP(Projects_Follow_UP[[#This Row],[Client Phone Number]],'Hot Leads'!B:B,'Hot Leads'!C:C,0,0)</f>
        <v>0</v>
      </c>
      <c r="F133" s="32">
        <f>_xlfn.XLOOKUP(Projects_Follow_UP[[#This Row],[Client Name]],'Hot Leads'!A:A,'Hot Leads'!F:F, ,0)</f>
        <v>0</v>
      </c>
      <c r="G133" s="56"/>
      <c r="H133" s="56"/>
      <c r="I133" s="39"/>
      <c r="J133" s="56"/>
      <c r="L133" s="56"/>
      <c r="M133" s="39"/>
      <c r="N133" s="56"/>
      <c r="O133" s="57">
        <f>IFERROR(VALUE(SUBSTITUTE(TRIM(SUBSTITUTE(Projects_Follow_UP[[#This Row],[Est. value]],"SAR","")),",","")),0)</f>
        <v>0</v>
      </c>
      <c r="P133" s="56"/>
      <c r="Q133" s="56"/>
      <c r="R133" s="56" cm="1">
        <f t="array" ref="R133">_xlfn.LET(_xlpm.x,_xlfn.XLOOKUP(A133,Dashboard!$M$61:$M$72,Dashboard!$J$61:$J$72,""),IF(_xlpm.x&lt;&gt;"",_xlpm.x,M133))</f>
        <v>0</v>
      </c>
      <c r="S133" s="341" t="str" cm="1">
        <f t="array" ref="S133">_xlfn.LET(_xlpm.x,_xlfn.XLOOKUP(A133,Dashboard!$M$61:$M$72,Dashboard!$K$61:$K$72,""),_xlpm.orig,N133,IF(_xlpm.x&lt;&gt;"",_xlpm.x,IF(OR(_xlpm.orig="",_xlpm.orig=0),"",_xlpm.orig)))</f>
        <v/>
      </c>
    </row>
    <row r="134" spans="1:19" ht="12.75">
      <c r="A134" s="5" t="s">
        <v>400</v>
      </c>
      <c r="B134" s="56"/>
      <c r="C134" s="38"/>
      <c r="D134" s="32">
        <f>_xlfn.XLOOKUP(Projects_Follow_UP[[#This Row],[Client Name]],'Hot Leads'!A:A,'Hot Leads'!B:B,0,0)</f>
        <v>0</v>
      </c>
      <c r="E134" s="32">
        <f>_xlfn.XLOOKUP(Projects_Follow_UP[[#This Row],[Client Phone Number]],'Hot Leads'!B:B,'Hot Leads'!C:C,0,0)</f>
        <v>0</v>
      </c>
      <c r="F134" s="32">
        <f>_xlfn.XLOOKUP(Projects_Follow_UP[[#This Row],[Client Name]],'Hot Leads'!A:A,'Hot Leads'!F:F, ,0)</f>
        <v>0</v>
      </c>
      <c r="G134" s="56"/>
      <c r="H134" s="56"/>
      <c r="I134" s="39"/>
      <c r="J134" s="56"/>
      <c r="L134" s="56"/>
      <c r="M134" s="39"/>
      <c r="N134" s="56"/>
      <c r="O134" s="57">
        <f>IFERROR(VALUE(SUBSTITUTE(TRIM(SUBSTITUTE(Projects_Follow_UP[[#This Row],[Est. value]],"SAR","")),",","")),0)</f>
        <v>0</v>
      </c>
      <c r="P134" s="56"/>
      <c r="Q134" s="56"/>
      <c r="R134" s="56" cm="1">
        <f t="array" ref="R134">_xlfn.LET(_xlpm.x,_xlfn.XLOOKUP(A134,Dashboard!$M$61:$M$72,Dashboard!$J$61:$J$72,""),IF(_xlpm.x&lt;&gt;"",_xlpm.x,M134))</f>
        <v>0</v>
      </c>
      <c r="S134" s="341" t="str" cm="1">
        <f t="array" ref="S134">_xlfn.LET(_xlpm.x,_xlfn.XLOOKUP(A134,Dashboard!$M$61:$M$72,Dashboard!$K$61:$K$72,""),_xlpm.orig,N134,IF(_xlpm.x&lt;&gt;"",_xlpm.x,IF(OR(_xlpm.orig="",_xlpm.orig=0),"",_xlpm.orig)))</f>
        <v/>
      </c>
    </row>
    <row r="135" spans="1:19" ht="12.75">
      <c r="A135" s="5" t="s">
        <v>401</v>
      </c>
      <c r="B135" s="56"/>
      <c r="C135" s="38"/>
      <c r="D135" s="32">
        <f>_xlfn.XLOOKUP(Projects_Follow_UP[[#This Row],[Client Name]],'Hot Leads'!A:A,'Hot Leads'!B:B,0,0)</f>
        <v>0</v>
      </c>
      <c r="E135" s="32">
        <f>_xlfn.XLOOKUP(Projects_Follow_UP[[#This Row],[Client Phone Number]],'Hot Leads'!B:B,'Hot Leads'!C:C,0,0)</f>
        <v>0</v>
      </c>
      <c r="F135" s="32">
        <f>_xlfn.XLOOKUP(Projects_Follow_UP[[#This Row],[Client Name]],'Hot Leads'!A:A,'Hot Leads'!F:F, ,0)</f>
        <v>0</v>
      </c>
      <c r="G135" s="56"/>
      <c r="H135" s="56"/>
      <c r="I135" s="39"/>
      <c r="J135" s="56"/>
      <c r="L135" s="56"/>
      <c r="M135" s="39"/>
      <c r="N135" s="56"/>
      <c r="O135" s="57">
        <f>IFERROR(VALUE(SUBSTITUTE(TRIM(SUBSTITUTE(Projects_Follow_UP[[#This Row],[Est. value]],"SAR","")),",","")),0)</f>
        <v>0</v>
      </c>
      <c r="P135" s="56"/>
      <c r="Q135" s="56"/>
      <c r="R135" s="56" cm="1">
        <f t="array" ref="R135">_xlfn.LET(_xlpm.x,_xlfn.XLOOKUP(A135,Dashboard!$M$61:$M$72,Dashboard!$J$61:$J$72,""),IF(_xlpm.x&lt;&gt;"",_xlpm.x,M135))</f>
        <v>0</v>
      </c>
      <c r="S135" s="341" t="str" cm="1">
        <f t="array" ref="S135">_xlfn.LET(_xlpm.x,_xlfn.XLOOKUP(A135,Dashboard!$M$61:$M$72,Dashboard!$K$61:$K$72,""),_xlpm.orig,N135,IF(_xlpm.x&lt;&gt;"",_xlpm.x,IF(OR(_xlpm.orig="",_xlpm.orig=0),"",_xlpm.orig)))</f>
        <v/>
      </c>
    </row>
    <row r="136" spans="1:19" ht="12.75">
      <c r="A136" s="5" t="s">
        <v>402</v>
      </c>
      <c r="B136" s="56"/>
      <c r="C136" s="38"/>
      <c r="D136" s="32">
        <f>_xlfn.XLOOKUP(Projects_Follow_UP[[#This Row],[Client Name]],'Hot Leads'!A:A,'Hot Leads'!B:B,0,0)</f>
        <v>0</v>
      </c>
      <c r="E136" s="32">
        <f>_xlfn.XLOOKUP(Projects_Follow_UP[[#This Row],[Client Phone Number]],'Hot Leads'!B:B,'Hot Leads'!C:C,0,0)</f>
        <v>0</v>
      </c>
      <c r="F136" s="32">
        <f>_xlfn.XLOOKUP(Projects_Follow_UP[[#This Row],[Client Name]],'Hot Leads'!A:A,'Hot Leads'!F:F, ,0)</f>
        <v>0</v>
      </c>
      <c r="G136" s="56"/>
      <c r="H136" s="56"/>
      <c r="I136" s="39"/>
      <c r="J136" s="56"/>
      <c r="L136" s="56"/>
      <c r="M136" s="39"/>
      <c r="N136" s="56"/>
      <c r="O136" s="57">
        <f>IFERROR(VALUE(SUBSTITUTE(TRIM(SUBSTITUTE(Projects_Follow_UP[[#This Row],[Est. value]],"SAR","")),",","")),0)</f>
        <v>0</v>
      </c>
      <c r="P136" s="56"/>
      <c r="Q136" s="56"/>
      <c r="R136" s="56" cm="1">
        <f t="array" ref="R136">_xlfn.LET(_xlpm.x,_xlfn.XLOOKUP(A136,Dashboard!$M$61:$M$72,Dashboard!$J$61:$J$72,""),IF(_xlpm.x&lt;&gt;"",_xlpm.x,M136))</f>
        <v>0</v>
      </c>
      <c r="S136" s="341" t="str" cm="1">
        <f t="array" ref="S136">_xlfn.LET(_xlpm.x,_xlfn.XLOOKUP(A136,Dashboard!$M$61:$M$72,Dashboard!$K$61:$K$72,""),_xlpm.orig,N136,IF(_xlpm.x&lt;&gt;"",_xlpm.x,IF(OR(_xlpm.orig="",_xlpm.orig=0),"",_xlpm.orig)))</f>
        <v/>
      </c>
    </row>
    <row r="137" spans="1:19" ht="12.75">
      <c r="A137" s="5" t="s">
        <v>403</v>
      </c>
      <c r="B137" s="56"/>
      <c r="C137" s="38"/>
      <c r="D137" s="32">
        <f>_xlfn.XLOOKUP(Projects_Follow_UP[[#This Row],[Client Name]],'Hot Leads'!A:A,'Hot Leads'!B:B,0,0)</f>
        <v>0</v>
      </c>
      <c r="E137" s="32">
        <f>_xlfn.XLOOKUP(Projects_Follow_UP[[#This Row],[Client Phone Number]],'Hot Leads'!B:B,'Hot Leads'!C:C,0,0)</f>
        <v>0</v>
      </c>
      <c r="F137" s="32">
        <f>_xlfn.XLOOKUP(Projects_Follow_UP[[#This Row],[Client Name]],'Hot Leads'!A:A,'Hot Leads'!F:F, ,0)</f>
        <v>0</v>
      </c>
      <c r="G137" s="56"/>
      <c r="H137" s="56"/>
      <c r="I137" s="39"/>
      <c r="J137" s="56"/>
      <c r="L137" s="56"/>
      <c r="M137" s="39"/>
      <c r="N137" s="56"/>
      <c r="O137" s="57">
        <f>IFERROR(VALUE(SUBSTITUTE(TRIM(SUBSTITUTE(Projects_Follow_UP[[#This Row],[Est. value]],"SAR","")),",","")),0)</f>
        <v>0</v>
      </c>
      <c r="P137" s="56"/>
      <c r="Q137" s="56"/>
      <c r="R137" s="56" cm="1">
        <f t="array" ref="R137">_xlfn.LET(_xlpm.x,_xlfn.XLOOKUP(A137,Dashboard!$M$61:$M$72,Dashboard!$J$61:$J$72,""),IF(_xlpm.x&lt;&gt;"",_xlpm.x,M137))</f>
        <v>0</v>
      </c>
      <c r="S137" s="341" t="str" cm="1">
        <f t="array" ref="S137">_xlfn.LET(_xlpm.x,_xlfn.XLOOKUP(A137,Dashboard!$M$61:$M$72,Dashboard!$K$61:$K$72,""),_xlpm.orig,N137,IF(_xlpm.x&lt;&gt;"",_xlpm.x,IF(OR(_xlpm.orig="",_xlpm.orig=0),"",_xlpm.orig)))</f>
        <v/>
      </c>
    </row>
    <row r="138" spans="1:19" ht="12.75">
      <c r="A138" s="5" t="s">
        <v>404</v>
      </c>
      <c r="B138" s="56"/>
      <c r="C138" s="38"/>
      <c r="D138" s="32">
        <f>_xlfn.XLOOKUP(Projects_Follow_UP[[#This Row],[Client Name]],'Hot Leads'!A:A,'Hot Leads'!B:B,0,0)</f>
        <v>0</v>
      </c>
      <c r="E138" s="32">
        <f>_xlfn.XLOOKUP(Projects_Follow_UP[[#This Row],[Client Phone Number]],'Hot Leads'!B:B,'Hot Leads'!C:C,0,0)</f>
        <v>0</v>
      </c>
      <c r="F138" s="32">
        <f>_xlfn.XLOOKUP(Projects_Follow_UP[[#This Row],[Client Name]],'Hot Leads'!A:A,'Hot Leads'!F:F, ,0)</f>
        <v>0</v>
      </c>
      <c r="G138" s="56"/>
      <c r="H138" s="56"/>
      <c r="I138" s="39"/>
      <c r="J138" s="56"/>
      <c r="L138" s="56"/>
      <c r="M138" s="39"/>
      <c r="N138" s="56"/>
      <c r="O138" s="57">
        <f>IFERROR(VALUE(SUBSTITUTE(TRIM(SUBSTITUTE(Projects_Follow_UP[[#This Row],[Est. value]],"SAR","")),",","")),0)</f>
        <v>0</v>
      </c>
      <c r="P138" s="56"/>
      <c r="Q138" s="56"/>
      <c r="R138" s="56" cm="1">
        <f t="array" ref="R138">_xlfn.LET(_xlpm.x,_xlfn.XLOOKUP(A138,Dashboard!$M$61:$M$72,Dashboard!$J$61:$J$72,""),IF(_xlpm.x&lt;&gt;"",_xlpm.x,M138))</f>
        <v>0</v>
      </c>
      <c r="S138" s="341" t="str" cm="1">
        <f t="array" ref="S138">_xlfn.LET(_xlpm.x,_xlfn.XLOOKUP(A138,Dashboard!$M$61:$M$72,Dashboard!$K$61:$K$72,""),_xlpm.orig,N138,IF(_xlpm.x&lt;&gt;"",_xlpm.x,IF(OR(_xlpm.orig="",_xlpm.orig=0),"",_xlpm.orig)))</f>
        <v/>
      </c>
    </row>
    <row r="139" spans="1:19" ht="12.75">
      <c r="A139" s="5" t="s">
        <v>405</v>
      </c>
      <c r="B139" s="56"/>
      <c r="C139" s="38"/>
      <c r="D139" s="32">
        <f>_xlfn.XLOOKUP(Projects_Follow_UP[[#This Row],[Client Name]],'Hot Leads'!A:A,'Hot Leads'!B:B,0,0)</f>
        <v>0</v>
      </c>
      <c r="E139" s="32">
        <f>_xlfn.XLOOKUP(Projects_Follow_UP[[#This Row],[Client Phone Number]],'Hot Leads'!B:B,'Hot Leads'!C:C,0,0)</f>
        <v>0</v>
      </c>
      <c r="F139" s="32">
        <f>_xlfn.XLOOKUP(Projects_Follow_UP[[#This Row],[Client Name]],'Hot Leads'!A:A,'Hot Leads'!F:F, ,0)</f>
        <v>0</v>
      </c>
      <c r="G139" s="56"/>
      <c r="H139" s="56"/>
      <c r="I139" s="39"/>
      <c r="J139" s="56"/>
      <c r="L139" s="56"/>
      <c r="M139" s="39"/>
      <c r="N139" s="56"/>
      <c r="O139" s="57">
        <f>IFERROR(VALUE(SUBSTITUTE(TRIM(SUBSTITUTE(Projects_Follow_UP[[#This Row],[Est. value]],"SAR","")),",","")),0)</f>
        <v>0</v>
      </c>
      <c r="P139" s="56"/>
      <c r="Q139" s="56"/>
      <c r="R139" s="56" cm="1">
        <f t="array" ref="R139">_xlfn.LET(_xlpm.x,_xlfn.XLOOKUP(A139,Dashboard!$M$61:$M$72,Dashboard!$J$61:$J$72,""),IF(_xlpm.x&lt;&gt;"",_xlpm.x,M139))</f>
        <v>0</v>
      </c>
      <c r="S139" s="341" t="str" cm="1">
        <f t="array" ref="S139">_xlfn.LET(_xlpm.x,_xlfn.XLOOKUP(A139,Dashboard!$M$61:$M$72,Dashboard!$K$61:$K$72,""),_xlpm.orig,N139,IF(_xlpm.x&lt;&gt;"",_xlpm.x,IF(OR(_xlpm.orig="",_xlpm.orig=0),"",_xlpm.orig)))</f>
        <v/>
      </c>
    </row>
  </sheetData>
  <mergeCells count="6">
    <mergeCell ref="K1:K3"/>
    <mergeCell ref="F1:F3"/>
    <mergeCell ref="G1:G3"/>
    <mergeCell ref="H1:H3"/>
    <mergeCell ref="I1:I3"/>
    <mergeCell ref="J1:J3"/>
  </mergeCells>
  <dataValidations count="4">
    <dataValidation allowBlank="1" showDropDown="1" sqref="C5:C7 M5:M139 B5:B139 K5:K139" xr:uid="{00000000-0002-0000-0000-000002000000}"/>
    <dataValidation type="custom" allowBlank="1" showDropDown="1" sqref="J5:J139" xr:uid="{00000000-0002-0000-0000-000001000000}">
      <formula1>AND(ISNUMBER(J5),(NOT(OR(NOT(ISERROR(DATEVALUE(J5))), AND(ISNUMBER(J5), LEFT(CELL("format", J5))="D")))))</formula1>
    </dataValidation>
    <dataValidation type="custom" allowBlank="1" showDropDown="1" sqref="N5:O139 L5:L139" xr:uid="{00000000-0002-0000-0000-000004000000}">
      <formula1>OR(NOT(ISERROR(DATEVALUE(L5))), AND(ISNUMBER(L5), LEFT(CELL("format", L5))="D"))</formula1>
    </dataValidation>
    <dataValidation type="list" allowBlank="1" sqref="P5:P101" xr:uid="{DC2202E4-0536-4401-98F0-816F8B6B874B}">
      <formula1>"Abdelrahman,Hamdy ,Yasir"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BB50F20-A418-40EC-82FA-5A231CB7DE71}">
          <x14:formula1>
            <xm:f>'Hot Leads'!$A$2:$A$1041</xm:f>
          </x14:formula1>
          <xm:sqref>C8:C139</xm:sqref>
        </x14:dataValidation>
        <x14:dataValidation type="list" allowBlank="1" xr:uid="{00000000-0002-0000-0000-000000000000}">
          <x14:formula1>
            <xm:f>'Data Validation'!$B$2:$B$13</xm:f>
          </x14:formula1>
          <xm:sqref>I5:I139</xm:sqref>
        </x14:dataValidation>
        <x14:dataValidation type="list" allowBlank="1" xr:uid="{00000000-0002-0000-0000-000005000000}">
          <x14:formula1>
            <xm:f>'Data Validation'!$C$2:$C$34</xm:f>
          </x14:formula1>
          <xm:sqref>H5:H139</xm:sqref>
        </x14:dataValidation>
        <x14:dataValidation type="list" allowBlank="1" xr:uid="{00000000-0002-0000-0000-000006000000}">
          <x14:formula1>
            <xm:f>'Data Validation'!$A$2:$A$3</xm:f>
          </x14:formula1>
          <xm:sqref>G5:G139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DEB5"/>
    <outlinePr summaryBelow="0" summaryRight="0"/>
  </sheetPr>
  <dimension ref="A1:N155"/>
  <sheetViews>
    <sheetView workbookViewId="0">
      <pane ySplit="1" topLeftCell="A148" activePane="bottomLeft" state="frozen"/>
      <selection pane="bottomLeft" activeCell="I153" sqref="I153"/>
    </sheetView>
  </sheetViews>
  <sheetFormatPr defaultColWidth="12.7109375" defaultRowHeight="15.75" customHeight="1"/>
  <cols>
    <col min="1" max="1" width="23.5703125" bestFit="1" customWidth="1"/>
    <col min="2" max="2" width="21.42578125" style="215" bestFit="1" customWidth="1"/>
    <col min="3" max="3" width="17.85546875" customWidth="1"/>
    <col min="4" max="4" width="25.85546875" customWidth="1"/>
    <col min="5" max="5" width="11.28515625" customWidth="1"/>
    <col min="6" max="6" width="13.28515625" customWidth="1"/>
    <col min="7" max="7" width="16" customWidth="1"/>
    <col min="8" max="8" width="12.85546875" customWidth="1"/>
    <col min="9" max="10" width="28.7109375" customWidth="1"/>
    <col min="11" max="11" width="12.85546875" customWidth="1"/>
    <col min="12" max="12" width="15" customWidth="1"/>
    <col min="13" max="14" width="24.7109375" customWidth="1"/>
  </cols>
  <sheetData>
    <row r="1" spans="1:14" ht="45">
      <c r="A1" s="11" t="s">
        <v>48</v>
      </c>
      <c r="B1" s="51" t="s">
        <v>50</v>
      </c>
      <c r="C1" s="11" t="s">
        <v>49</v>
      </c>
      <c r="D1" s="11" t="s">
        <v>406</v>
      </c>
      <c r="E1" s="11" t="s">
        <v>407</v>
      </c>
      <c r="F1" s="11" t="s">
        <v>408</v>
      </c>
      <c r="G1" s="11" t="s">
        <v>51</v>
      </c>
      <c r="H1" s="11" t="s">
        <v>409</v>
      </c>
      <c r="I1" s="11" t="s">
        <v>410</v>
      </c>
      <c r="J1" s="11" t="s">
        <v>411</v>
      </c>
      <c r="K1" s="20" t="s">
        <v>412</v>
      </c>
      <c r="L1" s="11" t="s">
        <v>200</v>
      </c>
      <c r="M1" t="s">
        <v>413</v>
      </c>
      <c r="N1" t="s">
        <v>414</v>
      </c>
    </row>
    <row r="2" spans="1:14" ht="45">
      <c r="A2" s="12" t="s">
        <v>415</v>
      </c>
      <c r="B2" s="52">
        <v>966562846152</v>
      </c>
      <c r="C2" s="14" t="s">
        <v>416</v>
      </c>
      <c r="D2" s="21" t="s">
        <v>417</v>
      </c>
      <c r="E2" s="17" t="s">
        <v>31</v>
      </c>
      <c r="F2" s="14" t="s">
        <v>418</v>
      </c>
      <c r="G2" s="14" t="s">
        <v>419</v>
      </c>
      <c r="H2" s="22">
        <v>46131</v>
      </c>
      <c r="I2" s="14" t="s">
        <v>420</v>
      </c>
      <c r="J2" s="14" t="s">
        <v>421</v>
      </c>
      <c r="K2" s="22"/>
      <c r="L2" s="14"/>
      <c r="M2" s="38" t="str" cm="1">
        <f t="array" ref="M2">_xlfn.LET(_xlpm.x,_xlfn.XLOOKUP(Hot_Leads[[#This Row],[Phone]],Dashboard!$M$44:$M$58,Dashboard!$J$44:$J$58,""),IF(_xlpm.x&lt;&gt;"",_xlpm.x,Hot_Leads[[#This Row],[Next Follow Up Notes]]))</f>
        <v>اول ما الكوتيشن تخلص هكلمه</v>
      </c>
      <c r="N2" s="331" t="str" cm="1">
        <f t="array" ref="N2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3" spans="1:14" ht="45">
      <c r="A3" s="12" t="s">
        <v>422</v>
      </c>
      <c r="B3" s="52">
        <v>966540374734</v>
      </c>
      <c r="C3" s="14" t="s">
        <v>423</v>
      </c>
      <c r="D3" s="23" t="s">
        <v>424</v>
      </c>
      <c r="E3" s="17" t="s">
        <v>34</v>
      </c>
      <c r="F3" s="14" t="s">
        <v>425</v>
      </c>
      <c r="G3" s="14" t="s">
        <v>426</v>
      </c>
      <c r="H3" s="22">
        <v>46176</v>
      </c>
      <c r="I3" s="14" t="s">
        <v>427</v>
      </c>
      <c r="J3" s="14" t="s">
        <v>428</v>
      </c>
      <c r="K3" s="22"/>
      <c r="L3" s="14"/>
      <c r="M3" s="38" t="str" cm="1">
        <f t="array" ref="M3">_xlfn.LET(_xlpm.x,_xlfn.XLOOKUP(Hot_Leads[[#This Row],[Phone]],Dashboard!$M$44:$M$58,Dashboard!$J$44:$J$58,""),IF(_xlpm.x&lt;&gt;"",_xlpm.x,Hot_Leads[[#This Row],[Next Follow Up Notes]]))</f>
        <v>لسة على نفس المشروع القديم و مفيش جديد خالص</v>
      </c>
      <c r="N3" s="331" t="str" cm="1">
        <f t="array" ref="N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4" spans="1:14" ht="75">
      <c r="A4" s="12" t="s">
        <v>429</v>
      </c>
      <c r="B4" s="52">
        <v>966552196041</v>
      </c>
      <c r="C4" s="14" t="s">
        <v>430</v>
      </c>
      <c r="D4" s="14"/>
      <c r="E4" s="14"/>
      <c r="F4" s="14" t="s">
        <v>431</v>
      </c>
      <c r="G4" s="14" t="s">
        <v>432</v>
      </c>
      <c r="H4" s="22">
        <v>46131</v>
      </c>
      <c r="I4" s="14" t="s">
        <v>433</v>
      </c>
      <c r="J4" s="14" t="s">
        <v>434</v>
      </c>
      <c r="K4" s="22"/>
      <c r="L4" s="14"/>
      <c r="M4" s="38" t="str" cm="1">
        <f t="array" ref="M4">_xlfn.LET(_xlpm.x,_xlfn.XLOOKUP(Hot_Leads[[#This Row],[Phone]],Dashboard!$M$44:$M$58,Dashboard!$J$44:$J$58,""),IF(_xlpm.x&lt;&gt;"",_xlpm.x,Hot_Leads[[#This Row],[Next Follow Up Notes]]))</f>
        <v>Send Business Card &amp; Company Profile</v>
      </c>
      <c r="N4" s="331" t="str" cm="1">
        <f t="array" ref="N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5" spans="1:14" ht="45">
      <c r="A5" s="12" t="s">
        <v>435</v>
      </c>
      <c r="B5" s="52">
        <v>966550796895</v>
      </c>
      <c r="C5" s="12" t="s">
        <v>436</v>
      </c>
      <c r="D5" s="21" t="s">
        <v>437</v>
      </c>
      <c r="E5" s="17" t="s">
        <v>438</v>
      </c>
      <c r="F5" s="14" t="s">
        <v>439</v>
      </c>
      <c r="G5" s="14" t="s">
        <v>440</v>
      </c>
      <c r="H5" s="22">
        <v>46131</v>
      </c>
      <c r="I5" s="14" t="s">
        <v>441</v>
      </c>
      <c r="J5" s="14" t="s">
        <v>441</v>
      </c>
      <c r="K5" s="22"/>
      <c r="L5" s="14"/>
      <c r="M5" s="38" t="str" cm="1">
        <f t="array" ref="M5">_xlfn.LET(_xlpm.x,_xlfn.XLOOKUP(Hot_Leads[[#This Row],[Phone]],Dashboard!$M$44:$M$58,Dashboard!$J$44:$J$58,""),IF(_xlpm.x&lt;&gt;"",_xlpm.x,Hot_Leads[[#This Row],[Next Follow Up Notes]]))</f>
        <v>Na</v>
      </c>
      <c r="N5" s="331" t="str" cm="1">
        <f t="array" ref="N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6" spans="1:14" ht="92.25" customHeight="1">
      <c r="A6" s="24" t="s">
        <v>442</v>
      </c>
      <c r="B6" s="52">
        <v>966547017064</v>
      </c>
      <c r="C6" s="12" t="s">
        <v>443</v>
      </c>
      <c r="D6" s="21" t="s">
        <v>444</v>
      </c>
      <c r="E6" s="17" t="s">
        <v>438</v>
      </c>
      <c r="F6" s="14" t="s">
        <v>445</v>
      </c>
      <c r="G6" s="14" t="s">
        <v>446</v>
      </c>
      <c r="H6" s="13">
        <v>46131</v>
      </c>
      <c r="I6" s="14" t="s">
        <v>447</v>
      </c>
      <c r="J6" s="14" t="s">
        <v>448</v>
      </c>
      <c r="K6" s="22"/>
      <c r="L6" s="14" t="s">
        <v>449</v>
      </c>
      <c r="M6" s="38" t="str" cm="1">
        <f t="array" ref="M6">_xlfn.LET(_xlpm.x,_xlfn.XLOOKUP(Hot_Leads[[#This Row],[Phone]],Dashboard!$M$44:$M$58,Dashboard!$J$44:$J$58,""),IF(_xlpm.x&lt;&gt;"",_xlpm.x,Hot_Leads[[#This Row],[Next Follow Up Notes]]))</f>
        <v>Send Quotation and Ask for the sister company for BMS</v>
      </c>
      <c r="N6" s="331" t="str" cm="1">
        <f t="array" ref="N6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7" spans="1:14" ht="75">
      <c r="A7" s="25" t="s">
        <v>74</v>
      </c>
      <c r="B7" s="52">
        <v>966546468592</v>
      </c>
      <c r="C7" s="14" t="s">
        <v>450</v>
      </c>
      <c r="D7" s="23" t="s">
        <v>451</v>
      </c>
      <c r="E7" s="17" t="s">
        <v>40</v>
      </c>
      <c r="F7" s="14"/>
      <c r="G7" s="14" t="s">
        <v>446</v>
      </c>
      <c r="H7" s="22">
        <v>46176</v>
      </c>
      <c r="I7" s="14" t="s">
        <v>452</v>
      </c>
      <c r="J7" s="16" t="s">
        <v>75</v>
      </c>
      <c r="K7" s="22"/>
      <c r="L7" s="16"/>
      <c r="M7" s="38" t="str" cm="1">
        <f t="array" ref="M7">_xlfn.LET(_xlpm.x,_xlfn.XLOOKUP(Hot_Leads[[#This Row],[Phone]],Dashboard!$M$44:$M$58,Dashboard!$J$44:$J$58,""),IF(_xlpm.x&lt;&gt;"",_xlpm.x,Hot_Leads[[#This Row],[Next Follow Up Notes]]))</f>
        <v>هكلمه يوم الاتنين عشان اعرف التفاصيل الجديدة</v>
      </c>
      <c r="N7" s="331" cm="1">
        <f t="array" ref="N7">_xlfn.LET(_xlpm.x,_xlfn.XLOOKUP(Hot_Leads[[#This Row],[Phone]],Dashboard!$M$44:$M$58,Dashboard!$K$44:$K$58,""),_xlpm.orig,Hot_Leads[[#This Row],[Next Follow Up Date]],IF(_xlpm.x&lt;&gt;"",_xlpm.x,IF(OR(_xlpm.orig="",_xlpm.orig=0),"",_xlpm.orig)))</f>
        <v>46146</v>
      </c>
    </row>
    <row r="8" spans="1:14" ht="60">
      <c r="A8" s="25" t="s">
        <v>66</v>
      </c>
      <c r="B8" s="52">
        <v>966506694282</v>
      </c>
      <c r="C8" s="14" t="s">
        <v>219</v>
      </c>
      <c r="D8" s="26" t="s">
        <v>453</v>
      </c>
      <c r="E8" s="17" t="s">
        <v>31</v>
      </c>
      <c r="F8" s="14" t="s">
        <v>220</v>
      </c>
      <c r="G8" s="14" t="s">
        <v>454</v>
      </c>
      <c r="H8" s="22">
        <v>46131</v>
      </c>
      <c r="I8" s="14" t="s">
        <v>455</v>
      </c>
      <c r="J8" s="14" t="s">
        <v>456</v>
      </c>
      <c r="K8" s="22"/>
      <c r="L8" s="16"/>
      <c r="M8" s="38" t="str" cm="1">
        <f t="array" ref="M8">_xlfn.LET(_xlpm.x,_xlfn.XLOOKUP(Hot_Leads[[#This Row],[Phone]],Dashboard!$M$44:$M$58,Dashboard!$J$44:$J$58,""),IF(_xlpm.x&lt;&gt;"",_xlpm.x,Hot_Leads[[#This Row],[Next Follow Up Notes]]))</f>
        <v>قالي ان البرنامج هيرسى علينا و مستني بس موفقه الادارة</v>
      </c>
      <c r="N8" s="331" cm="1">
        <f t="array" ref="N8">_xlfn.LET(_xlpm.x,_xlfn.XLOOKUP(Hot_Leads[[#This Row],[Phone]],Dashboard!$M$44:$M$58,Dashboard!$K$44:$K$58,""),_xlpm.orig,Hot_Leads[[#This Row],[Next Follow Up Date]],IF(_xlpm.x&lt;&gt;"",_xlpm.x,IF(OR(_xlpm.orig="",_xlpm.orig=0),"",_xlpm.orig)))</f>
        <v>46250</v>
      </c>
    </row>
    <row r="9" spans="1:14" ht="75">
      <c r="A9" s="25" t="s">
        <v>457</v>
      </c>
      <c r="B9" s="52">
        <v>966500029803</v>
      </c>
      <c r="C9" s="14" t="s">
        <v>458</v>
      </c>
      <c r="D9" s="18" t="s">
        <v>425</v>
      </c>
      <c r="E9" s="17" t="s">
        <v>40</v>
      </c>
      <c r="F9" s="14" t="s">
        <v>459</v>
      </c>
      <c r="G9" s="14" t="s">
        <v>454</v>
      </c>
      <c r="H9" s="22">
        <v>46132</v>
      </c>
      <c r="I9" s="14" t="s">
        <v>460</v>
      </c>
      <c r="J9" s="14" t="s">
        <v>461</v>
      </c>
      <c r="K9" s="22"/>
      <c r="L9" s="14" t="s">
        <v>462</v>
      </c>
      <c r="M9" s="38" t="str" cm="1">
        <f t="array" ref="M9">_xlfn.LET(_xlpm.x,_xlfn.XLOOKUP(Hot_Leads[[#This Row],[Phone]],Dashboard!$M$44:$M$58,Dashboard!$J$44:$J$58,""),IF(_xlpm.x&lt;&gt;"",_xlpm.x,Hot_Leads[[#This Row],[Next Follow Up Notes]]))</f>
        <v>ده خلاص بقا مع مهندس حمدي</v>
      </c>
      <c r="N9" s="331" t="str" cm="1">
        <f t="array" ref="N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0" spans="1:14" ht="60">
      <c r="A10" s="25" t="s">
        <v>463</v>
      </c>
      <c r="B10" s="52">
        <v>966532001107</v>
      </c>
      <c r="C10" s="14" t="s">
        <v>464</v>
      </c>
      <c r="D10" s="18"/>
      <c r="E10" s="17"/>
      <c r="F10" s="14" t="s">
        <v>465</v>
      </c>
      <c r="G10" s="14" t="s">
        <v>466</v>
      </c>
      <c r="H10" s="22">
        <v>46132</v>
      </c>
      <c r="I10" s="14" t="s">
        <v>467</v>
      </c>
      <c r="J10" s="14" t="s">
        <v>468</v>
      </c>
      <c r="K10" s="22"/>
      <c r="L10" s="16"/>
      <c r="M10" s="38" t="str" cm="1">
        <f t="array" ref="M10">_xlfn.LET(_xlpm.x,_xlfn.XLOOKUP(Hot_Leads[[#This Row],[Phone]],Dashboard!$M$44:$M$58,Dashboard!$J$44:$J$58,""),IF(_xlpm.x&lt;&gt;"",_xlpm.x,Hot_Leads[[#This Row],[Next Follow Up Notes]]))</f>
        <v>اداني رقم مهندس تاني هكلمه دلوقتي عشان نروح نعمل معاينه</v>
      </c>
      <c r="N10" s="331" t="str" cm="1">
        <f t="array" ref="N10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1" spans="1:14" ht="45">
      <c r="A11" s="25" t="s">
        <v>58</v>
      </c>
      <c r="B11" s="52">
        <v>966541016847</v>
      </c>
      <c r="C11" s="14" t="s">
        <v>469</v>
      </c>
      <c r="D11" s="18"/>
      <c r="E11" s="17" t="s">
        <v>34</v>
      </c>
      <c r="F11" s="14"/>
      <c r="G11" s="27" t="s">
        <v>454</v>
      </c>
      <c r="H11" s="22">
        <v>46132</v>
      </c>
      <c r="I11" s="14" t="s">
        <v>470</v>
      </c>
      <c r="J11" s="14" t="s">
        <v>471</v>
      </c>
      <c r="K11" s="22"/>
      <c r="L11" s="16"/>
      <c r="M11" s="38" t="str" cm="1">
        <f t="array" ref="M11">_xlfn.LET(_xlpm.x,_xlfn.XLOOKUP(Hot_Leads[[#This Row],[Phone]],Dashboard!$M$44:$M$58,Dashboard!$J$44:$J$58,""),IF(_xlpm.x&lt;&gt;"",_xlpm.x,Hot_Leads[[#This Row],[Next Follow Up Notes]]))</f>
        <v xml:space="preserve">مفيش اخبار جديدة عنه </v>
      </c>
      <c r="N11" s="331" cm="1">
        <f t="array" ref="N11">_xlfn.LET(_xlpm.x,_xlfn.XLOOKUP(Hot_Leads[[#This Row],[Phone]],Dashboard!$M$44:$M$58,Dashboard!$K$44:$K$58,""),_xlpm.orig,Hot_Leads[[#This Row],[Next Follow Up Date]],IF(_xlpm.x&lt;&gt;"",_xlpm.x,IF(OR(_xlpm.orig="",_xlpm.orig=0),"",_xlpm.orig)))</f>
        <v>46243</v>
      </c>
    </row>
    <row r="12" spans="1:14" ht="45">
      <c r="A12" s="25" t="s">
        <v>472</v>
      </c>
      <c r="B12" s="52">
        <v>201118383863</v>
      </c>
      <c r="C12" s="14" t="s">
        <v>473</v>
      </c>
      <c r="D12" s="18"/>
      <c r="E12" s="17"/>
      <c r="F12" s="14"/>
      <c r="G12" s="27" t="s">
        <v>474</v>
      </c>
      <c r="H12" s="22">
        <v>46132</v>
      </c>
      <c r="I12" s="14" t="s">
        <v>475</v>
      </c>
      <c r="J12" s="14" t="s">
        <v>476</v>
      </c>
      <c r="K12" s="22"/>
      <c r="L12" s="16"/>
      <c r="M12" s="38" t="str" cm="1">
        <f t="array" ref="M12">_xlfn.LET(_xlpm.x,_xlfn.XLOOKUP(Hot_Leads[[#This Row],[Phone]],Dashboard!$M$44:$M$58,Dashboard!$J$44:$J$58,""),IF(_xlpm.x&lt;&gt;"",_xlpm.x,Hot_Leads[[#This Row],[Next Follow Up Notes]]))</f>
        <v>Follow up Next Week</v>
      </c>
      <c r="N12" s="331" t="str" cm="1">
        <f t="array" ref="N12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3" spans="1:14" ht="105.75" customHeight="1">
      <c r="A13" s="25" t="s">
        <v>249</v>
      </c>
      <c r="B13" s="52">
        <v>966560374964</v>
      </c>
      <c r="C13" s="14" t="s">
        <v>477</v>
      </c>
      <c r="D13" s="18"/>
      <c r="E13" s="17" t="s">
        <v>31</v>
      </c>
      <c r="F13" s="14" t="s">
        <v>478</v>
      </c>
      <c r="G13" s="27" t="s">
        <v>474</v>
      </c>
      <c r="H13" s="22">
        <v>46133</v>
      </c>
      <c r="I13" s="14" t="s">
        <v>479</v>
      </c>
      <c r="J13" s="14" t="s">
        <v>480</v>
      </c>
      <c r="K13" s="22"/>
      <c r="L13" s="16"/>
      <c r="M13" s="38" t="str" cm="1">
        <f t="array" ref="M13">_xlfn.LET(_xlpm.x,_xlfn.XLOOKUP(Hot_Leads[[#This Row],[Phone]],Dashboard!$M$44:$M$58,Dashboard!$J$44:$J$58,""),IF(_xlpm.x&lt;&gt;"",_xlpm.x,Hot_Leads[[#This Row],[Next Follow Up Notes]]))</f>
        <v>تابع معاه يوم الاحد</v>
      </c>
      <c r="N13" s="331" t="str" cm="1">
        <f t="array" ref="N1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4" spans="1:14" ht="30">
      <c r="A14" s="25" t="s">
        <v>481</v>
      </c>
      <c r="B14" s="52"/>
      <c r="C14" s="16"/>
      <c r="D14" s="18"/>
      <c r="E14" s="17"/>
      <c r="F14" s="14"/>
      <c r="G14" s="28"/>
      <c r="H14" s="22">
        <v>46133</v>
      </c>
      <c r="I14" s="29" t="s">
        <v>482</v>
      </c>
      <c r="J14" s="16"/>
      <c r="K14" s="28"/>
      <c r="L14" s="16"/>
      <c r="M14" s="38" cm="1">
        <f t="array" ref="M14">_xlfn.LET(_xlpm.x,_xlfn.XLOOKUP(Hot_Leads[[#This Row],[Phone]],Dashboard!$M$44:$M$58,Dashboard!$J$44:$J$58,""),IF(_xlpm.x&lt;&gt;"",_xlpm.x,Hot_Leads[[#This Row],[Next Follow Up Notes]]))</f>
        <v>0</v>
      </c>
      <c r="N14" s="331" t="str" cm="1">
        <f t="array" ref="N1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5" spans="1:14" ht="75">
      <c r="A15" s="25" t="s">
        <v>60</v>
      </c>
      <c r="B15" s="52">
        <v>966569972444</v>
      </c>
      <c r="C15" s="14" t="s">
        <v>483</v>
      </c>
      <c r="D15" s="18"/>
      <c r="E15" s="17" t="s">
        <v>31</v>
      </c>
      <c r="F15" s="14"/>
      <c r="G15" s="14" t="s">
        <v>474</v>
      </c>
      <c r="H15" s="22">
        <v>46176</v>
      </c>
      <c r="I15" s="14" t="s">
        <v>484</v>
      </c>
      <c r="J15" s="14" t="s">
        <v>61</v>
      </c>
      <c r="K15" s="22"/>
      <c r="L15" s="16"/>
      <c r="M15" s="38" t="str" cm="1">
        <f t="array" ref="M15">_xlfn.LET(_xlpm.x,_xlfn.XLOOKUP(Hot_Leads[[#This Row],[Phone]],Dashboard!$M$44:$M$58,Dashboard!$J$44:$J$58,""),IF(_xlpm.x&lt;&gt;"",_xlpm.x,Hot_Leads[[#This Row],[Next Follow Up Notes]]))</f>
        <v>Follow Up Next Week</v>
      </c>
      <c r="N15" s="331" cm="1">
        <f t="array" ref="N15">_xlfn.LET(_xlpm.x,_xlfn.XLOOKUP(Hot_Leads[[#This Row],[Phone]],Dashboard!$M$44:$M$58,Dashboard!$K$44:$K$58,""),_xlpm.orig,Hot_Leads[[#This Row],[Next Follow Up Date]],IF(_xlpm.x&lt;&gt;"",_xlpm.x,IF(OR(_xlpm.orig="",_xlpm.orig=0),"",_xlpm.orig)))</f>
        <v>46140</v>
      </c>
    </row>
    <row r="16" spans="1:14" ht="60">
      <c r="A16" s="15"/>
      <c r="B16" s="52"/>
      <c r="C16" s="14" t="s">
        <v>485</v>
      </c>
      <c r="D16" s="30" t="s">
        <v>486</v>
      </c>
      <c r="E16" s="17" t="s">
        <v>31</v>
      </c>
      <c r="F16" s="14"/>
      <c r="G16" s="28"/>
      <c r="H16" s="22">
        <v>46134</v>
      </c>
      <c r="I16" s="14" t="s">
        <v>487</v>
      </c>
      <c r="J16" s="14" t="s">
        <v>488</v>
      </c>
      <c r="K16" s="22"/>
      <c r="L16" s="16"/>
      <c r="M16" s="38" t="str" cm="1">
        <f t="array" ref="M16">_xlfn.LET(_xlpm.x,_xlfn.XLOOKUP(Hot_Leads[[#This Row],[Phone]],Dashboard!$M$44:$M$58,Dashboard!$J$44:$J$58,""),IF(_xlpm.x&lt;&gt;"",_xlpm.x,Hot_Leads[[#This Row],[Next Follow Up Notes]]))</f>
        <v>Book a Visit</v>
      </c>
      <c r="N16" s="331" t="str" cm="1">
        <f t="array" ref="N16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7" spans="1:14" ht="30">
      <c r="A17" s="25" t="s">
        <v>489</v>
      </c>
      <c r="B17" s="52">
        <v>966503840536</v>
      </c>
      <c r="C17" s="14" t="s">
        <v>490</v>
      </c>
      <c r="D17" s="18"/>
      <c r="E17" s="17"/>
      <c r="F17" s="14" t="s">
        <v>491</v>
      </c>
      <c r="G17" s="14" t="s">
        <v>492</v>
      </c>
      <c r="H17" s="22">
        <v>46135</v>
      </c>
      <c r="I17" s="14" t="s">
        <v>493</v>
      </c>
      <c r="J17" s="14" t="s">
        <v>494</v>
      </c>
      <c r="K17" s="22"/>
      <c r="L17" s="16" t="s">
        <v>449</v>
      </c>
      <c r="M17" s="38" t="str" cm="1">
        <f t="array" ref="M17">_xlfn.LET(_xlpm.x,_xlfn.XLOOKUP(Hot_Leads[[#This Row],[Phone]],Dashboard!$M$44:$M$58,Dashboard!$J$44:$J$58,""),IF(_xlpm.x&lt;&gt;"",_xlpm.x,Hot_Leads[[#This Row],[Next Follow Up Notes]]))</f>
        <v xml:space="preserve">الاكونت ده مع عبدالرحمن خلاص </v>
      </c>
      <c r="N17" s="331" t="str" cm="1">
        <f t="array" ref="N17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8" spans="1:14" ht="105">
      <c r="A18" s="25" t="s">
        <v>62</v>
      </c>
      <c r="B18" s="52">
        <v>966569548850</v>
      </c>
      <c r="C18" s="14" t="s">
        <v>495</v>
      </c>
      <c r="D18" s="18"/>
      <c r="E18" s="17"/>
      <c r="F18" s="14" t="s">
        <v>496</v>
      </c>
      <c r="G18" s="14" t="s">
        <v>426</v>
      </c>
      <c r="H18" s="22">
        <v>46135</v>
      </c>
      <c r="I18" s="14" t="s">
        <v>497</v>
      </c>
      <c r="J18" s="14" t="s">
        <v>61</v>
      </c>
      <c r="K18" s="22"/>
      <c r="L18" s="16"/>
      <c r="M18" s="38" t="str" cm="1">
        <f t="array" ref="M18">_xlfn.LET(_xlpm.x,_xlfn.XLOOKUP(Hot_Leads[[#This Row],[Phone]],Dashboard!$M$44:$M$58,Dashboard!$J$44:$J$58,""),IF(_xlpm.x&lt;&gt;"",_xlpm.x,Hot_Leads[[#This Row],[Next Follow Up Notes]]))</f>
        <v xml:space="preserve">ده خلاص مبقاش معايا مهندس عبدالرحمن قالي ان فيه حد مكمل معاه </v>
      </c>
      <c r="N18" s="331" cm="1">
        <f t="array" ref="N18">_xlfn.LET(_xlpm.x,_xlfn.XLOOKUP(Hot_Leads[[#This Row],[Phone]],Dashboard!$M$44:$M$58,Dashboard!$K$44:$K$58,""),_xlpm.orig,Hot_Leads[[#This Row],[Next Follow Up Date]],IF(_xlpm.x&lt;&gt;"",_xlpm.x,IF(OR(_xlpm.orig="",_xlpm.orig=0),"",_xlpm.orig)))</f>
        <v>46456</v>
      </c>
    </row>
    <row r="19" spans="1:14" ht="30">
      <c r="A19" s="25" t="s">
        <v>498</v>
      </c>
      <c r="B19" s="52">
        <v>966500055718</v>
      </c>
      <c r="C19" s="14" t="s">
        <v>499</v>
      </c>
      <c r="D19" s="18"/>
      <c r="E19" s="17" t="s">
        <v>37</v>
      </c>
      <c r="F19" s="14"/>
      <c r="G19" s="14" t="s">
        <v>500</v>
      </c>
      <c r="H19" s="22">
        <v>46137</v>
      </c>
      <c r="I19" s="14" t="s">
        <v>501</v>
      </c>
      <c r="J19" s="16"/>
      <c r="K19" s="28"/>
      <c r="L19" s="16"/>
      <c r="M19" s="38" cm="1">
        <f t="array" ref="M19">_xlfn.LET(_xlpm.x,_xlfn.XLOOKUP(Hot_Leads[[#This Row],[Phone]],Dashboard!$M$44:$M$58,Dashboard!$J$44:$J$58,""),IF(_xlpm.x&lt;&gt;"",_xlpm.x,Hot_Leads[[#This Row],[Next Follow Up Notes]]))</f>
        <v>0</v>
      </c>
      <c r="N19" s="331" t="str" cm="1">
        <f t="array" ref="N1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20" spans="1:14" ht="30">
      <c r="A20" s="15" t="s">
        <v>502</v>
      </c>
      <c r="B20" s="52">
        <v>966591245470</v>
      </c>
      <c r="C20" s="16" t="s">
        <v>436</v>
      </c>
      <c r="D20" s="21" t="s">
        <v>437</v>
      </c>
      <c r="E20" s="17"/>
      <c r="F20" s="14"/>
      <c r="G20" s="14" t="s">
        <v>500</v>
      </c>
      <c r="H20" s="28"/>
      <c r="I20" s="16"/>
      <c r="J20" s="16"/>
      <c r="K20" s="28"/>
      <c r="L20" s="16"/>
      <c r="M20" s="38" cm="1">
        <f t="array" ref="M20">_xlfn.LET(_xlpm.x,_xlfn.XLOOKUP(Hot_Leads[[#This Row],[Phone]],Dashboard!$M$44:$M$58,Dashboard!$J$44:$J$58,""),IF(_xlpm.x&lt;&gt;"",_xlpm.x,Hot_Leads[[#This Row],[Next Follow Up Notes]]))</f>
        <v>0</v>
      </c>
      <c r="N20" s="331" t="str" cm="1">
        <f t="array" ref="N20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21" spans="1:14" ht="99.75" customHeight="1">
      <c r="A21" s="15" t="s">
        <v>64</v>
      </c>
      <c r="B21" s="52">
        <v>966562292293</v>
      </c>
      <c r="C21" s="16" t="s">
        <v>503</v>
      </c>
      <c r="D21" s="47" t="s">
        <v>504</v>
      </c>
      <c r="E21" s="17" t="s">
        <v>31</v>
      </c>
      <c r="F21" s="47" t="s">
        <v>505</v>
      </c>
      <c r="G21" s="14" t="s">
        <v>506</v>
      </c>
      <c r="H21" s="28">
        <v>46140</v>
      </c>
      <c r="I21" s="16" t="s">
        <v>507</v>
      </c>
      <c r="J21" s="16" t="s">
        <v>508</v>
      </c>
      <c r="K21" s="28"/>
      <c r="L21" s="16"/>
      <c r="M21" s="38" t="str" cm="1">
        <f t="array" ref="M21">_xlfn.LET(_xlpm.x,_xlfn.XLOOKUP(Hot_Leads[[#This Row],[Phone]],Dashboard!$M$44:$M$58,Dashboard!$J$44:$J$58,""),IF(_xlpm.x&lt;&gt;"",_xlpm.x,Hot_Leads[[#This Row],[Next Follow Up Notes]]))</f>
        <v xml:space="preserve">في اجازة في مصر و هرجع يبعتلنا مشروع ديار الحرم عشان نخشه سوا </v>
      </c>
      <c r="N21" s="331" cm="1">
        <f t="array" ref="N21">_xlfn.LET(_xlpm.x,_xlfn.XLOOKUP(Hot_Leads[[#This Row],[Phone]],Dashboard!$M$44:$M$58,Dashboard!$K$44:$K$58,""),_xlpm.orig,Hot_Leads[[#This Row],[Next Follow Up Date]],IF(_xlpm.x&lt;&gt;"",_xlpm.x,IF(OR(_xlpm.orig="",_xlpm.orig=0),"",_xlpm.orig)))</f>
        <v>46265</v>
      </c>
    </row>
    <row r="22" spans="1:14" ht="84" customHeight="1">
      <c r="A22" s="15" t="s">
        <v>509</v>
      </c>
      <c r="B22" s="52">
        <v>966509199592</v>
      </c>
      <c r="C22" s="16" t="s">
        <v>503</v>
      </c>
      <c r="D22" s="47" t="s">
        <v>504</v>
      </c>
      <c r="E22" s="17" t="s">
        <v>31</v>
      </c>
      <c r="F22" s="14"/>
      <c r="G22" s="14" t="s">
        <v>510</v>
      </c>
      <c r="H22" s="28">
        <v>46140</v>
      </c>
      <c r="I22" s="16" t="s">
        <v>511</v>
      </c>
      <c r="J22" s="18" t="s">
        <v>512</v>
      </c>
      <c r="K22" s="31"/>
      <c r="L22" s="18"/>
      <c r="M22" s="38" t="str" cm="1">
        <f t="array" ref="M22">_xlfn.LET(_xlpm.x,_xlfn.XLOOKUP(Hot_Leads[[#This Row],[Phone]],Dashboard!$M$44:$M$58,Dashboard!$J$44:$J$58,""),IF(_xlpm.x&lt;&gt;"",_xlpm.x,Hot_Leads[[#This Row],[Next Follow Up Notes]]))</f>
        <v>مردش و هكلمه تاني بس خلاص م/ اششرف رد عليا</v>
      </c>
      <c r="N22" s="331" t="str" cm="1">
        <f t="array" ref="N22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23" spans="1:14" ht="25.5">
      <c r="A23" s="15" t="s">
        <v>513</v>
      </c>
      <c r="B23" s="52">
        <v>966569356683</v>
      </c>
      <c r="C23" s="16" t="s">
        <v>514</v>
      </c>
      <c r="D23" s="18"/>
      <c r="E23" s="17" t="s">
        <v>34</v>
      </c>
      <c r="F23" s="14"/>
      <c r="G23" s="14" t="s">
        <v>515</v>
      </c>
      <c r="H23" s="31">
        <v>46139</v>
      </c>
      <c r="I23" s="18" t="s">
        <v>516</v>
      </c>
      <c r="J23" s="18"/>
      <c r="K23" s="31"/>
      <c r="L23" s="18"/>
      <c r="M23" s="38" cm="1">
        <f t="array" ref="M23">_xlfn.LET(_xlpm.x,_xlfn.XLOOKUP(Hot_Leads[[#This Row],[Phone]],Dashboard!$M$44:$M$58,Dashboard!$J$44:$J$58,""),IF(_xlpm.x&lt;&gt;"",_xlpm.x,Hot_Leads[[#This Row],[Next Follow Up Notes]]))</f>
        <v>0</v>
      </c>
      <c r="N23" s="331" t="str" cm="1">
        <f t="array" ref="N2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24" spans="1:14" ht="25.5">
      <c r="A24" s="15" t="s">
        <v>517</v>
      </c>
      <c r="B24" s="52">
        <v>966546686990</v>
      </c>
      <c r="C24" s="15" t="s">
        <v>517</v>
      </c>
      <c r="D24" s="18"/>
      <c r="E24" s="17" t="s">
        <v>34</v>
      </c>
      <c r="F24" s="14"/>
      <c r="G24" s="14" t="s">
        <v>515</v>
      </c>
      <c r="H24" s="31">
        <v>46139</v>
      </c>
      <c r="I24" s="18" t="s">
        <v>516</v>
      </c>
      <c r="J24" s="18"/>
      <c r="K24" s="31"/>
      <c r="L24" s="18"/>
      <c r="M24" s="38" cm="1">
        <f t="array" ref="M24">_xlfn.LET(_xlpm.x,_xlfn.XLOOKUP(Hot_Leads[[#This Row],[Phone]],Dashboard!$M$44:$M$58,Dashboard!$J$44:$J$58,""),IF(_xlpm.x&lt;&gt;"",_xlpm.x,Hot_Leads[[#This Row],[Next Follow Up Notes]]))</f>
        <v>0</v>
      </c>
      <c r="N24" s="331" t="str" cm="1">
        <f t="array" ref="N2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25" spans="1:14" ht="38.25">
      <c r="A25" s="15" t="s">
        <v>518</v>
      </c>
      <c r="B25" s="52">
        <v>966571664609</v>
      </c>
      <c r="C25" s="16" t="s">
        <v>519</v>
      </c>
      <c r="D25" s="18"/>
      <c r="E25" s="17" t="s">
        <v>34</v>
      </c>
      <c r="F25" s="14"/>
      <c r="G25" s="14" t="s">
        <v>520</v>
      </c>
      <c r="H25" s="31">
        <v>46139</v>
      </c>
      <c r="I25" s="18" t="s">
        <v>521</v>
      </c>
      <c r="J25" s="18"/>
      <c r="K25" s="31"/>
      <c r="L25" s="18"/>
      <c r="M25" s="38" cm="1">
        <f t="array" ref="M25">_xlfn.LET(_xlpm.x,_xlfn.XLOOKUP(Hot_Leads[[#This Row],[Phone]],Dashboard!$M$44:$M$58,Dashboard!$J$44:$J$58,""),IF(_xlpm.x&lt;&gt;"",_xlpm.x,Hot_Leads[[#This Row],[Next Follow Up Notes]]))</f>
        <v>0</v>
      </c>
      <c r="N25" s="331" t="str" cm="1">
        <f t="array" ref="N2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26" spans="1:14" ht="38.25">
      <c r="A26" s="15"/>
      <c r="B26" s="52"/>
      <c r="C26" s="16" t="s">
        <v>522</v>
      </c>
      <c r="D26" s="18"/>
      <c r="E26" s="17" t="s">
        <v>34</v>
      </c>
      <c r="F26" s="14"/>
      <c r="G26" s="14"/>
      <c r="H26" s="31">
        <v>46139</v>
      </c>
      <c r="I26" s="18" t="s">
        <v>523</v>
      </c>
      <c r="J26" s="18"/>
      <c r="K26" s="31"/>
      <c r="L26" s="18"/>
      <c r="M26" s="38" cm="1">
        <f t="array" ref="M26">_xlfn.LET(_xlpm.x,_xlfn.XLOOKUP(Hot_Leads[[#This Row],[Phone]],Dashboard!$M$44:$M$58,Dashboard!$J$44:$J$58,""),IF(_xlpm.x&lt;&gt;"",_xlpm.x,Hot_Leads[[#This Row],[Next Follow Up Notes]]))</f>
        <v>0</v>
      </c>
      <c r="N26" s="331" t="str" cm="1">
        <f t="array" ref="N26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27" spans="1:14" ht="78.75" customHeight="1">
      <c r="A27" s="15" t="s">
        <v>524</v>
      </c>
      <c r="B27" s="52">
        <v>966564236176</v>
      </c>
      <c r="C27" s="16" t="s">
        <v>525</v>
      </c>
      <c r="D27" s="18"/>
      <c r="E27" s="17" t="s">
        <v>34</v>
      </c>
      <c r="F27" s="14"/>
      <c r="G27" s="14" t="s">
        <v>510</v>
      </c>
      <c r="H27" s="31">
        <v>46139</v>
      </c>
      <c r="I27" s="18" t="s">
        <v>526</v>
      </c>
      <c r="J27" s="18"/>
      <c r="K27" s="31"/>
      <c r="L27" s="18"/>
      <c r="M27" s="38" cm="1">
        <f t="array" ref="M27">_xlfn.LET(_xlpm.x,_xlfn.XLOOKUP(Hot_Leads[[#This Row],[Phone]],Dashboard!$M$44:$M$58,Dashboard!$J$44:$J$58,""),IF(_xlpm.x&lt;&gt;"",_xlpm.x,Hot_Leads[[#This Row],[Next Follow Up Notes]]))</f>
        <v>0</v>
      </c>
      <c r="N27" s="331" t="str" cm="1">
        <f t="array" ref="N27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28" spans="1:14" ht="55.5" customHeight="1">
      <c r="A28" s="15" t="s">
        <v>527</v>
      </c>
      <c r="B28" s="52">
        <v>966540986497</v>
      </c>
      <c r="C28" s="16" t="s">
        <v>528</v>
      </c>
      <c r="D28" s="18"/>
      <c r="E28" s="17" t="s">
        <v>34</v>
      </c>
      <c r="F28" s="14"/>
      <c r="G28" s="14" t="s">
        <v>510</v>
      </c>
      <c r="H28" s="31">
        <v>46139</v>
      </c>
      <c r="I28" s="18" t="s">
        <v>529</v>
      </c>
      <c r="J28" s="18"/>
      <c r="K28" s="31"/>
      <c r="L28" s="18"/>
      <c r="M28" s="38" cm="1">
        <f t="array" ref="M28">_xlfn.LET(_xlpm.x,_xlfn.XLOOKUP(Hot_Leads[[#This Row],[Phone]],Dashboard!$M$44:$M$58,Dashboard!$J$44:$J$58,""),IF(_xlpm.x&lt;&gt;"",_xlpm.x,Hot_Leads[[#This Row],[Next Follow Up Notes]]))</f>
        <v>0</v>
      </c>
      <c r="N28" s="331" t="str" cm="1">
        <f t="array" ref="N28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29" spans="1:14" ht="15">
      <c r="A29" s="15" t="s">
        <v>530</v>
      </c>
      <c r="B29" s="52"/>
      <c r="C29" s="16"/>
      <c r="D29" s="18"/>
      <c r="E29" s="17"/>
      <c r="F29" s="14"/>
      <c r="G29" s="14"/>
      <c r="H29" s="31"/>
      <c r="I29" s="18"/>
      <c r="J29" s="18"/>
      <c r="K29" s="31"/>
      <c r="L29" s="18"/>
      <c r="M29" s="38" cm="1">
        <f t="array" ref="M29">_xlfn.LET(_xlpm.x,_xlfn.XLOOKUP(Hot_Leads[[#This Row],[Phone]],Dashboard!$M$44:$M$58,Dashboard!$J$44:$J$58,""),IF(_xlpm.x&lt;&gt;"",_xlpm.x,Hot_Leads[[#This Row],[Next Follow Up Notes]]))</f>
        <v>0</v>
      </c>
      <c r="N29" s="331" t="str" cm="1">
        <f t="array" ref="N2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30" spans="1:14" ht="15">
      <c r="A30" s="15" t="s">
        <v>531</v>
      </c>
      <c r="B30" s="52"/>
      <c r="C30" s="16"/>
      <c r="D30" s="18"/>
      <c r="E30" s="17"/>
      <c r="F30" s="14"/>
      <c r="G30" s="14"/>
      <c r="H30" s="31"/>
      <c r="I30" s="18"/>
      <c r="J30" s="18"/>
      <c r="K30" s="31"/>
      <c r="L30" s="18"/>
      <c r="M30" s="38" cm="1">
        <f t="array" ref="M30">_xlfn.LET(_xlpm.x,_xlfn.XLOOKUP(Hot_Leads[[#This Row],[Phone]],Dashboard!$M$44:$M$58,Dashboard!$J$44:$J$58,""),IF(_xlpm.x&lt;&gt;"",_xlpm.x,Hot_Leads[[#This Row],[Next Follow Up Notes]]))</f>
        <v>0</v>
      </c>
      <c r="N30" s="331" t="str" cm="1">
        <f t="array" ref="N30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31" spans="1:14" ht="30">
      <c r="A31" s="15" t="s">
        <v>532</v>
      </c>
      <c r="B31" s="52">
        <v>966548377568</v>
      </c>
      <c r="C31" s="16" t="s">
        <v>219</v>
      </c>
      <c r="D31" s="18"/>
      <c r="E31" s="17" t="s">
        <v>31</v>
      </c>
      <c r="F31" s="14"/>
      <c r="G31" s="14" t="s">
        <v>533</v>
      </c>
      <c r="H31" s="31">
        <v>46140</v>
      </c>
      <c r="I31" s="18" t="s">
        <v>534</v>
      </c>
      <c r="J31" s="18"/>
      <c r="K31" s="31"/>
      <c r="L31" s="18"/>
      <c r="M31" s="38" cm="1">
        <f t="array" ref="M31">_xlfn.LET(_xlpm.x,_xlfn.XLOOKUP(Hot_Leads[[#This Row],[Phone]],Dashboard!$M$44:$M$58,Dashboard!$J$44:$J$58,""),IF(_xlpm.x&lt;&gt;"",_xlpm.x,Hot_Leads[[#This Row],[Next Follow Up Notes]]))</f>
        <v>0</v>
      </c>
      <c r="N31" s="331" t="str" cm="1">
        <f t="array" ref="N31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32" spans="1:14" ht="38.25">
      <c r="A32" s="15" t="s">
        <v>76</v>
      </c>
      <c r="B32" s="52">
        <v>966598803998</v>
      </c>
      <c r="C32" s="16" t="s">
        <v>535</v>
      </c>
      <c r="D32" s="18"/>
      <c r="E32" s="17" t="s">
        <v>31</v>
      </c>
      <c r="F32" s="14"/>
      <c r="G32" s="14" t="s">
        <v>536</v>
      </c>
      <c r="H32" s="31">
        <v>46140</v>
      </c>
      <c r="I32" s="18" t="s">
        <v>537</v>
      </c>
      <c r="J32" s="18" t="s">
        <v>77</v>
      </c>
      <c r="K32" s="31"/>
      <c r="L32" s="18"/>
      <c r="M32" s="38" t="str" cm="1">
        <f t="array" ref="M32">_xlfn.LET(_xlpm.x,_xlfn.XLOOKUP(Hot_Leads[[#This Row],[Phone]],Dashboard!$M$44:$M$58,Dashboard!$J$44:$J$58,""),IF(_xlpm.x&lt;&gt;"",_xlpm.x,Hot_Leads[[#This Row],[Next Follow Up Notes]]))</f>
        <v>كلمته الاحد بس مردش عليا</v>
      </c>
      <c r="N32" s="331" cm="1">
        <f t="array" ref="N32">_xlfn.LET(_xlpm.x,_xlfn.XLOOKUP(Hot_Leads[[#This Row],[Phone]],Dashboard!$M$44:$M$58,Dashboard!$K$44:$K$58,""),_xlpm.orig,Hot_Leads[[#This Row],[Next Follow Up Date]],IF(_xlpm.x&lt;&gt;"",_xlpm.x,IF(OR(_xlpm.orig="",_xlpm.orig=0),"",_xlpm.orig)))</f>
        <v>46146</v>
      </c>
    </row>
    <row r="33" spans="1:14" ht="38.25">
      <c r="A33" s="15" t="s">
        <v>538</v>
      </c>
      <c r="B33" s="52">
        <v>966573395135</v>
      </c>
      <c r="C33" s="16" t="s">
        <v>539</v>
      </c>
      <c r="D33" s="18"/>
      <c r="E33" s="17" t="s">
        <v>31</v>
      </c>
      <c r="F33" s="47" t="s">
        <v>540</v>
      </c>
      <c r="G33" s="14" t="s">
        <v>541</v>
      </c>
      <c r="H33" s="31">
        <v>46141</v>
      </c>
      <c r="I33" s="18" t="s">
        <v>542</v>
      </c>
      <c r="J33" s="18"/>
      <c r="K33" s="31"/>
      <c r="L33" s="18"/>
      <c r="M33" s="38" cm="1">
        <f t="array" ref="M33">_xlfn.LET(_xlpm.x,_xlfn.XLOOKUP(Hot_Leads[[#This Row],[Phone]],Dashboard!$M$44:$M$58,Dashboard!$J$44:$J$58,""),IF(_xlpm.x&lt;&gt;"",_xlpm.x,Hot_Leads[[#This Row],[Next Follow Up Notes]]))</f>
        <v>0</v>
      </c>
      <c r="N33" s="331" t="str" cm="1">
        <f t="array" ref="N3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34" spans="1:14" ht="60">
      <c r="A34" s="15" t="s">
        <v>543</v>
      </c>
      <c r="B34" s="52">
        <v>966538599958</v>
      </c>
      <c r="C34" s="16" t="s">
        <v>535</v>
      </c>
      <c r="D34" s="18"/>
      <c r="E34" s="17" t="s">
        <v>31</v>
      </c>
      <c r="F34" s="47" t="s">
        <v>544</v>
      </c>
      <c r="G34" s="14" t="s">
        <v>545</v>
      </c>
      <c r="H34" s="31">
        <v>46141</v>
      </c>
      <c r="I34" s="18" t="s">
        <v>546</v>
      </c>
      <c r="J34" s="18"/>
      <c r="K34" s="31"/>
      <c r="L34" s="18"/>
      <c r="M34" s="38" cm="1">
        <f t="array" ref="M34">_xlfn.LET(_xlpm.x,_xlfn.XLOOKUP(Hot_Leads[[#This Row],[Phone]],Dashboard!$M$44:$M$58,Dashboard!$J$44:$J$58,""),IF(_xlpm.x&lt;&gt;"",_xlpm.x,Hot_Leads[[#This Row],[Next Follow Up Notes]]))</f>
        <v>0</v>
      </c>
      <c r="N34" s="331" t="str" cm="1">
        <f t="array" ref="N3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35" spans="1:14" ht="15">
      <c r="A35" s="15" t="s">
        <v>547</v>
      </c>
      <c r="B35" s="52"/>
      <c r="C35" s="16" t="s">
        <v>535</v>
      </c>
      <c r="D35" s="18"/>
      <c r="E35" s="17" t="s">
        <v>31</v>
      </c>
      <c r="F35" s="14"/>
      <c r="G35" s="14" t="s">
        <v>548</v>
      </c>
      <c r="H35" s="31">
        <v>46141</v>
      </c>
      <c r="I35" s="18" t="s">
        <v>549</v>
      </c>
      <c r="J35" s="18" t="s">
        <v>550</v>
      </c>
      <c r="K35" s="31"/>
      <c r="L35" s="18"/>
      <c r="M35" s="38" t="str" cm="1">
        <f t="array" ref="M35">_xlfn.LET(_xlpm.x,_xlfn.XLOOKUP(Hot_Leads[[#This Row],[Phone]],Dashboard!$M$44:$M$58,Dashboard!$J$44:$J$58,""),IF(_xlpm.x&lt;&gt;"",_xlpm.x,Hot_Leads[[#This Row],[Next Follow Up Notes]]))</f>
        <v>عاوز رقمه</v>
      </c>
      <c r="N35" s="331" t="str" cm="1">
        <f t="array" ref="N3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36" spans="1:14" ht="38.25">
      <c r="A36" s="15" t="s">
        <v>551</v>
      </c>
      <c r="B36" s="52">
        <v>966536136430</v>
      </c>
      <c r="C36" s="16" t="s">
        <v>552</v>
      </c>
      <c r="D36" s="18"/>
      <c r="E36" s="17" t="s">
        <v>31</v>
      </c>
      <c r="F36" s="47" t="s">
        <v>553</v>
      </c>
      <c r="G36" s="14" t="s">
        <v>554</v>
      </c>
      <c r="H36" s="31">
        <v>46141</v>
      </c>
      <c r="I36" s="18" t="s">
        <v>555</v>
      </c>
      <c r="J36" s="18"/>
      <c r="K36" s="31"/>
      <c r="L36" s="18"/>
      <c r="M36" s="38" cm="1">
        <f t="array" ref="M36">_xlfn.LET(_xlpm.x,_xlfn.XLOOKUP(Hot_Leads[[#This Row],[Phone]],Dashboard!$M$44:$M$58,Dashboard!$J$44:$J$58,""),IF(_xlpm.x&lt;&gt;"",_xlpm.x,Hot_Leads[[#This Row],[Next Follow Up Notes]]))</f>
        <v>0</v>
      </c>
      <c r="N36" s="331" t="str" cm="1">
        <f t="array" ref="N36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37" spans="1:14" ht="51">
      <c r="A37" s="15" t="s">
        <v>82</v>
      </c>
      <c r="B37" s="52">
        <v>966544411842</v>
      </c>
      <c r="C37" s="16" t="s">
        <v>556</v>
      </c>
      <c r="D37" s="18"/>
      <c r="E37" s="17" t="s">
        <v>31</v>
      </c>
      <c r="F37" s="14"/>
      <c r="G37" s="14"/>
      <c r="H37" s="31">
        <v>46142</v>
      </c>
      <c r="I37" s="18" t="s">
        <v>557</v>
      </c>
      <c r="J37" s="18"/>
      <c r="K37" s="31"/>
      <c r="L37" s="18"/>
      <c r="M37" s="38" cm="1">
        <f t="array" ref="M37">_xlfn.LET(_xlpm.x,_xlfn.XLOOKUP(Hot_Leads[[#This Row],[Phone]],Dashboard!$M$44:$M$58,Dashboard!$J$44:$J$58,""),IF(_xlpm.x&lt;&gt;"",_xlpm.x,Hot_Leads[[#This Row],[Next Follow Up Notes]]))</f>
        <v>0</v>
      </c>
      <c r="N37" s="331" cm="1">
        <f t="array" ref="N37">_xlfn.LET(_xlpm.x,_xlfn.XLOOKUP(Hot_Leads[[#This Row],[Phone]],Dashboard!$M$44:$M$58,Dashboard!$K$44:$K$58,""),_xlpm.orig,Hot_Leads[[#This Row],[Next Follow Up Date]],IF(_xlpm.x&lt;&gt;"",_xlpm.x,IF(OR(_xlpm.orig="",_xlpm.orig=0),"",_xlpm.orig)))</f>
        <v>46149</v>
      </c>
    </row>
    <row r="38" spans="1:14" ht="38.25">
      <c r="A38" s="15" t="s">
        <v>83</v>
      </c>
      <c r="B38" s="52">
        <v>966561333021</v>
      </c>
      <c r="C38" s="16" t="s">
        <v>558</v>
      </c>
      <c r="D38" s="18"/>
      <c r="E38" s="17"/>
      <c r="F38" s="14"/>
      <c r="G38" s="14"/>
      <c r="H38" s="31">
        <v>46142</v>
      </c>
      <c r="I38" s="18" t="s">
        <v>559</v>
      </c>
      <c r="J38" s="18" t="s">
        <v>84</v>
      </c>
      <c r="K38" s="31"/>
      <c r="L38" s="18"/>
      <c r="M38" s="38" t="str" cm="1">
        <f t="array" ref="M38">_xlfn.LET(_xlpm.x,_xlfn.XLOOKUP(Hot_Leads[[#This Row],[Phone]],Dashboard!$M$44:$M$58,Dashboard!$J$44:$J$58,""),IF(_xlpm.x&lt;&gt;"",_xlpm.x,Hot_Leads[[#This Row],[Next Follow Up Notes]]))</f>
        <v>هتابع معاه الاسبوع الجي</v>
      </c>
      <c r="N38" s="331" cm="1">
        <f t="array" ref="N38">_xlfn.LET(_xlpm.x,_xlfn.XLOOKUP(Hot_Leads[[#This Row],[Phone]],Dashboard!$M$44:$M$58,Dashboard!$K$44:$K$58,""),_xlpm.orig,Hot_Leads[[#This Row],[Next Follow Up Date]],IF(_xlpm.x&lt;&gt;"",_xlpm.x,IF(OR(_xlpm.orig="",_xlpm.orig=0),"",_xlpm.orig)))</f>
        <v>46149</v>
      </c>
    </row>
    <row r="39" spans="1:14" ht="25.5">
      <c r="A39" s="15" t="s">
        <v>560</v>
      </c>
      <c r="B39" s="52">
        <v>966535326266</v>
      </c>
      <c r="C39" s="16" t="s">
        <v>561</v>
      </c>
      <c r="D39" s="18"/>
      <c r="E39" s="17"/>
      <c r="F39" s="14"/>
      <c r="G39" s="14"/>
      <c r="H39" s="31">
        <v>46142</v>
      </c>
      <c r="I39" s="18" t="s">
        <v>562</v>
      </c>
      <c r="J39" s="18"/>
      <c r="K39" s="31"/>
      <c r="L39" s="18"/>
      <c r="M39" s="38" cm="1">
        <f t="array" ref="M39">_xlfn.LET(_xlpm.x,_xlfn.XLOOKUP(Hot_Leads[[#This Row],[Phone]],Dashboard!$M$44:$M$58,Dashboard!$J$44:$J$58,""),IF(_xlpm.x&lt;&gt;"",_xlpm.x,Hot_Leads[[#This Row],[Next Follow Up Notes]]))</f>
        <v>0</v>
      </c>
      <c r="N39" s="331" t="str" cm="1">
        <f t="array" ref="N3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40" spans="1:14" ht="45">
      <c r="A40" s="15" t="s">
        <v>68</v>
      </c>
      <c r="B40" s="52">
        <v>966568061671</v>
      </c>
      <c r="C40" s="16" t="s">
        <v>563</v>
      </c>
      <c r="D40" s="18"/>
      <c r="E40" s="17" t="s">
        <v>31</v>
      </c>
      <c r="F40" s="47" t="s">
        <v>564</v>
      </c>
      <c r="G40" s="14" t="s">
        <v>565</v>
      </c>
      <c r="H40" s="31">
        <v>46142</v>
      </c>
      <c r="I40" s="18" t="s">
        <v>566</v>
      </c>
      <c r="J40" s="18" t="s">
        <v>69</v>
      </c>
      <c r="K40" s="31"/>
      <c r="L40" s="18"/>
      <c r="M40" s="38" t="str" cm="1">
        <f t="array" ref="M40">_xlfn.LET(_xlpm.x,_xlfn.XLOOKUP(Hot_Leads[[#This Row],[Phone]],Dashboard!$M$44:$M$58,Dashboard!$J$44:$J$58,""),IF(_xlpm.x&lt;&gt;"",_xlpm.x,Hot_Leads[[#This Row],[Next Follow Up Notes]]))</f>
        <v>Send Pre and follow up</v>
      </c>
      <c r="N40" s="331" cm="1">
        <f t="array" ref="N40">_xlfn.LET(_xlpm.x,_xlfn.XLOOKUP(Hot_Leads[[#This Row],[Phone]],Dashboard!$M$44:$M$58,Dashboard!$K$44:$K$58,""),_xlpm.orig,Hot_Leads[[#This Row],[Next Follow Up Date]],IF(_xlpm.x&lt;&gt;"",_xlpm.x,IF(OR(_xlpm.orig="",_xlpm.orig=0),"",_xlpm.orig)))</f>
        <v>46145</v>
      </c>
    </row>
    <row r="41" spans="1:14" ht="38.25">
      <c r="A41" s="15" t="s">
        <v>206</v>
      </c>
      <c r="B41" s="52">
        <v>966540654038</v>
      </c>
      <c r="C41" s="16" t="s">
        <v>567</v>
      </c>
      <c r="D41" s="18"/>
      <c r="E41" s="17" t="s">
        <v>31</v>
      </c>
      <c r="F41" s="47" t="s">
        <v>208</v>
      </c>
      <c r="G41" s="14" t="s">
        <v>474</v>
      </c>
      <c r="H41" s="31">
        <v>46144</v>
      </c>
      <c r="I41" s="18" t="s">
        <v>568</v>
      </c>
      <c r="J41" s="18" t="s">
        <v>568</v>
      </c>
      <c r="K41" s="31"/>
      <c r="L41" s="18"/>
      <c r="M41" s="38" t="str" cm="1">
        <f t="array" ref="M41">_xlfn.LET(_xlpm.x,_xlfn.XLOOKUP(Hot_Leads[[#This Row],[Phone]],Dashboard!$M$44:$M$58,Dashboard!$J$44:$J$58,""),IF(_xlpm.x&lt;&gt;"",_xlpm.x,Hot_Leads[[#This Row],[Next Follow Up Notes]]))</f>
        <v>طلب مني ديسكاونت كويس عشان هو بيجهز ال submittal بتاعه الاخير خلاص و ان شاء الله يكون المشروع معانا</v>
      </c>
      <c r="N41" s="331" t="str" cm="1">
        <f t="array" ref="N41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42" spans="1:14" ht="51">
      <c r="A42" s="15" t="s">
        <v>569</v>
      </c>
      <c r="B42" s="52">
        <v>966507220728</v>
      </c>
      <c r="C42" s="16" t="s">
        <v>570</v>
      </c>
      <c r="D42" s="18"/>
      <c r="E42" s="17" t="s">
        <v>42</v>
      </c>
      <c r="F42" s="47" t="s">
        <v>571</v>
      </c>
      <c r="G42" s="14" t="s">
        <v>474</v>
      </c>
      <c r="H42" s="31">
        <v>46144</v>
      </c>
      <c r="I42" s="18" t="s">
        <v>572</v>
      </c>
      <c r="J42" s="18" t="s">
        <v>573</v>
      </c>
      <c r="K42" s="31"/>
      <c r="L42" s="18" t="s">
        <v>449</v>
      </c>
      <c r="M42" s="38" t="str" cm="1">
        <f t="array" ref="M42">_xlfn.LET(_xlpm.x,_xlfn.XLOOKUP(Hot_Leads[[#This Row],[Phone]],Dashboard!$M$44:$M$58,Dashboard!$J$44:$J$58,""),IF(_xlpm.x&lt;&gt;"",_xlpm.x,Hot_Leads[[#This Row],[Next Follow Up Notes]]))</f>
        <v>المشروع ده عبدالرحمن عبدالعيلم بيتابعه في الرياش</v>
      </c>
      <c r="N42" s="331" t="str" cm="1">
        <f t="array" ref="N42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43" spans="1:14" ht="45">
      <c r="A43" s="15" t="s">
        <v>574</v>
      </c>
      <c r="B43" s="52">
        <v>966564498774</v>
      </c>
      <c r="C43" s="16" t="s">
        <v>575</v>
      </c>
      <c r="D43" s="47" t="s">
        <v>576</v>
      </c>
      <c r="E43" s="17" t="s">
        <v>31</v>
      </c>
      <c r="F43" s="47" t="s">
        <v>577</v>
      </c>
      <c r="G43" s="14" t="s">
        <v>426</v>
      </c>
      <c r="H43" s="31">
        <v>46144</v>
      </c>
      <c r="I43" s="18" t="s">
        <v>578</v>
      </c>
      <c r="J43" s="18" t="s">
        <v>579</v>
      </c>
      <c r="K43" s="31"/>
      <c r="L43" s="18"/>
      <c r="M43" s="38" t="str" cm="1">
        <f t="array" ref="M43">_xlfn.LET(_xlpm.x,_xlfn.XLOOKUP(Hot_Leads[[#This Row],[Phone]],Dashboard!$M$44:$M$58,Dashboard!$J$44:$J$58,""),IF(_xlpm.x&lt;&gt;"",_xlpm.x,Hot_Leads[[#This Row],[Next Follow Up Notes]]))</f>
        <v>تابع معاه تاني لو مردش عليك</v>
      </c>
      <c r="N43" s="331" t="str" cm="1">
        <f t="array" ref="N4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44" spans="1:14" ht="15">
      <c r="A44" s="15" t="s">
        <v>580</v>
      </c>
      <c r="B44" s="52">
        <v>966534939921</v>
      </c>
      <c r="C44" s="18" t="s">
        <v>464</v>
      </c>
      <c r="D44" s="18"/>
      <c r="E44" s="17" t="s">
        <v>40</v>
      </c>
      <c r="F44" s="14"/>
      <c r="G44" s="14"/>
      <c r="H44" s="31">
        <v>46144</v>
      </c>
      <c r="I44" s="18" t="s">
        <v>581</v>
      </c>
      <c r="J44" s="18"/>
      <c r="K44" s="31"/>
      <c r="L44" s="18"/>
      <c r="M44" s="38" cm="1">
        <f t="array" ref="M44">_xlfn.LET(_xlpm.x,_xlfn.XLOOKUP(Hot_Leads[[#This Row],[Phone]],Dashboard!$M$44:$M$58,Dashboard!$J$44:$J$58,""),IF(_xlpm.x&lt;&gt;"",_xlpm.x,Hot_Leads[[#This Row],[Next Follow Up Notes]]))</f>
        <v>0</v>
      </c>
      <c r="N44" s="331" t="str" cm="1">
        <f t="array" ref="N4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45" spans="1:14" ht="30">
      <c r="A45" s="15" t="s">
        <v>582</v>
      </c>
      <c r="B45" s="52">
        <v>966581074664</v>
      </c>
      <c r="C45" s="18" t="s">
        <v>416</v>
      </c>
      <c r="D45" s="18"/>
      <c r="E45" s="17" t="s">
        <v>31</v>
      </c>
      <c r="F45" s="47" t="s">
        <v>583</v>
      </c>
      <c r="G45" s="14" t="s">
        <v>426</v>
      </c>
      <c r="H45" s="31">
        <v>46144</v>
      </c>
      <c r="I45" s="18" t="s">
        <v>584</v>
      </c>
      <c r="J45" s="18" t="s">
        <v>585</v>
      </c>
      <c r="K45" s="31"/>
      <c r="L45" s="18"/>
      <c r="M45" s="38" t="str" cm="1">
        <f t="array" ref="M45">_xlfn.LET(_xlpm.x,_xlfn.XLOOKUP(Hot_Leads[[#This Row],[Phone]],Dashboard!$M$44:$M$58,Dashboard!$J$44:$J$58,""),IF(_xlpm.x&lt;&gt;"",_xlpm.x,Hot_Leads[[#This Row],[Next Follow Up Notes]]))</f>
        <v xml:space="preserve">مصطفى هزاع بيشوف اخر ابديت للبضاعه و كمان أمل بتشوف المستحقات بتاعتنا قد ايه </v>
      </c>
      <c r="N45" s="331" t="str" cm="1">
        <f t="array" ref="N4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46" spans="1:14" ht="42.75" customHeight="1">
      <c r="A46" s="15" t="s">
        <v>70</v>
      </c>
      <c r="B46" s="52">
        <v>966554711520</v>
      </c>
      <c r="C46" s="18" t="s">
        <v>586</v>
      </c>
      <c r="D46" s="18"/>
      <c r="E46" s="17" t="s">
        <v>31</v>
      </c>
      <c r="F46" s="47" t="s">
        <v>587</v>
      </c>
      <c r="G46" s="14" t="s">
        <v>588</v>
      </c>
      <c r="H46" s="31">
        <v>46144</v>
      </c>
      <c r="I46" s="18" t="s">
        <v>589</v>
      </c>
      <c r="J46" s="18" t="s">
        <v>71</v>
      </c>
      <c r="K46" s="31"/>
      <c r="L46" s="18"/>
      <c r="M46" s="38" t="str" cm="1">
        <f t="array" ref="M46">_xlfn.LET(_xlpm.x,_xlfn.XLOOKUP(Hot_Leads[[#This Row],[Phone]],Dashboard!$M$44:$M$58,Dashboard!$J$44:$J$58,""),IF(_xlpm.x&lt;&gt;"",_xlpm.x,Hot_Leads[[#This Row],[Next Follow Up Notes]]))</f>
        <v>عاوز رقم حد من المشتريات</v>
      </c>
      <c r="N46" s="331" cm="1">
        <f t="array" ref="N46">_xlfn.LET(_xlpm.x,_xlfn.XLOOKUP(Hot_Leads[[#This Row],[Phone]],Dashboard!$M$44:$M$58,Dashboard!$K$44:$K$58,""),_xlpm.orig,Hot_Leads[[#This Row],[Next Follow Up Date]],IF(_xlpm.x&lt;&gt;"",_xlpm.x,IF(OR(_xlpm.orig="",_xlpm.orig=0),"",_xlpm.orig)))</f>
        <v>46145</v>
      </c>
    </row>
    <row r="47" spans="1:14" ht="51.75" customHeight="1">
      <c r="A47" s="15" t="s">
        <v>72</v>
      </c>
      <c r="B47" s="52">
        <v>966549733284</v>
      </c>
      <c r="C47" s="18" t="s">
        <v>590</v>
      </c>
      <c r="D47" s="23" t="s">
        <v>451</v>
      </c>
      <c r="E47" s="17" t="s">
        <v>31</v>
      </c>
      <c r="F47" s="47" t="s">
        <v>591</v>
      </c>
      <c r="G47" s="14" t="s">
        <v>592</v>
      </c>
      <c r="H47" s="31">
        <v>46144</v>
      </c>
      <c r="I47" s="18" t="s">
        <v>593</v>
      </c>
      <c r="J47" s="18" t="s">
        <v>73</v>
      </c>
      <c r="K47" s="31"/>
      <c r="L47" s="18"/>
      <c r="M47" s="38" t="str" cm="1">
        <f t="array" ref="M47">_xlfn.LET(_xlpm.x,_xlfn.XLOOKUP(Hot_Leads[[#This Row],[Phone]],Dashboard!$M$44:$M$58,Dashboard!$J$44:$J$58,""),IF(_xlpm.x&lt;&gt;"",_xlpm.x,Hot_Leads[[#This Row],[Next Follow Up Notes]]))</f>
        <v xml:space="preserve">هكلمه بكره تاني عشان اعرف التفاصيل الي قالي عليها </v>
      </c>
      <c r="N47" s="331" cm="1">
        <f t="array" ref="N47">_xlfn.LET(_xlpm.x,_xlfn.XLOOKUP(Hot_Leads[[#This Row],[Phone]],Dashboard!$M$44:$M$58,Dashboard!$K$44:$K$58,""),_xlpm.orig,Hot_Leads[[#This Row],[Next Follow Up Date]],IF(_xlpm.x&lt;&gt;"",_xlpm.x,IF(OR(_xlpm.orig="",_xlpm.orig=0),"",_xlpm.orig)))</f>
        <v>46145</v>
      </c>
    </row>
    <row r="48" spans="1:14" ht="30">
      <c r="A48" s="15" t="s">
        <v>78</v>
      </c>
      <c r="B48" s="52">
        <v>201111448448</v>
      </c>
      <c r="C48" s="18" t="s">
        <v>594</v>
      </c>
      <c r="D48" s="18"/>
      <c r="E48" s="17"/>
      <c r="F48" s="14"/>
      <c r="G48" s="14" t="s">
        <v>595</v>
      </c>
      <c r="H48" s="31">
        <v>46144</v>
      </c>
      <c r="I48" s="18" t="s">
        <v>596</v>
      </c>
      <c r="J48" s="18" t="s">
        <v>597</v>
      </c>
      <c r="K48" s="31"/>
      <c r="L48" s="18"/>
      <c r="M48" s="38" t="str" cm="1">
        <f t="array" ref="M48">_xlfn.LET(_xlpm.x,_xlfn.XLOOKUP(Hot_Leads[[#This Row],[Phone]],Dashboard!$M$44:$M$58,Dashboard!$J$44:$J$58,""),IF(_xlpm.x&lt;&gt;"",_xlpm.x,Hot_Leads[[#This Row],[Next Follow Up Notes]]))</f>
        <v xml:space="preserve">مفيش جديد مش معاه مشاريع تانيه حاليا </v>
      </c>
      <c r="N48" s="331" cm="1">
        <f t="array" ref="N48">_xlfn.LET(_xlpm.x,_xlfn.XLOOKUP(Hot_Leads[[#This Row],[Phone]],Dashboard!$M$44:$M$58,Dashboard!$K$44:$K$58,""),_xlpm.orig,Hot_Leads[[#This Row],[Next Follow Up Date]],IF(_xlpm.x&lt;&gt;"",_xlpm.x,IF(OR(_xlpm.orig="",_xlpm.orig=0),"",_xlpm.orig)))</f>
        <v>46364</v>
      </c>
    </row>
    <row r="49" spans="1:14" ht="51">
      <c r="A49" s="15" t="s">
        <v>598</v>
      </c>
      <c r="B49" s="52">
        <v>966509702995</v>
      </c>
      <c r="C49" s="18" t="s">
        <v>586</v>
      </c>
      <c r="D49" s="18"/>
      <c r="E49" s="17" t="s">
        <v>31</v>
      </c>
      <c r="F49" s="14"/>
      <c r="G49" s="14"/>
      <c r="H49" s="31">
        <v>46145</v>
      </c>
      <c r="I49" s="18" t="s">
        <v>599</v>
      </c>
      <c r="J49" s="18" t="s">
        <v>600</v>
      </c>
      <c r="K49" s="31"/>
      <c r="L49" s="18"/>
      <c r="M49" s="38" t="str" cm="1">
        <f t="array" ref="M49">_xlfn.LET(_xlpm.x,_xlfn.XLOOKUP(Hot_Leads[[#This Row],[Phone]],Dashboard!$M$44:$M$58,Dashboard!$J$44:$J$58,""),IF(_xlpm.x&lt;&gt;"",_xlpm.x,Hot_Leads[[#This Row],[Next Follow Up Notes]]))</f>
        <v>كلمه كمان اسبوعين اعرف ايه الدنيا في المشروع ده</v>
      </c>
      <c r="N49" s="331" t="str" cm="1">
        <f t="array" ref="N4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50" spans="1:14" ht="38.25">
      <c r="A50" s="15" t="s">
        <v>601</v>
      </c>
      <c r="B50" s="216">
        <v>966597556284</v>
      </c>
      <c r="C50" s="18" t="s">
        <v>586</v>
      </c>
      <c r="D50" s="18"/>
      <c r="E50" s="17" t="s">
        <v>31</v>
      </c>
      <c r="F50" s="14"/>
      <c r="G50" s="14" t="s">
        <v>419</v>
      </c>
      <c r="H50" s="31">
        <v>46145</v>
      </c>
      <c r="I50" s="18" t="s">
        <v>602</v>
      </c>
      <c r="J50" s="18" t="s">
        <v>603</v>
      </c>
      <c r="K50" s="31"/>
      <c r="L50" s="18"/>
      <c r="M50" s="38" t="str" cm="1">
        <f t="array" ref="M50">_xlfn.LET(_xlpm.x,_xlfn.XLOOKUP(Hot_Leads[[#This Row],[Phone]],Dashboard!$M$44:$M$58,Dashboard!$J$44:$J$58,""),IF(_xlpm.x&lt;&gt;"",_xlpm.x,Hot_Leads[[#This Row],[Next Follow Up Notes]]))</f>
        <v xml:space="preserve">عاوز منه رقم صاحبه بتاع ال BMS و عاوز اتابع معاه كل اسبوع </v>
      </c>
      <c r="N50" s="331" t="str" cm="1">
        <f t="array" ref="N50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51" spans="1:14" ht="38.25">
      <c r="A51" s="15" t="s">
        <v>232</v>
      </c>
      <c r="B51" s="52">
        <v>966531895117</v>
      </c>
      <c r="C51" s="18" t="s">
        <v>604</v>
      </c>
      <c r="D51" s="18"/>
      <c r="E51" s="17"/>
      <c r="F51" s="47" t="s">
        <v>605</v>
      </c>
      <c r="G51" s="14" t="s">
        <v>419</v>
      </c>
      <c r="H51" s="31">
        <v>46147</v>
      </c>
      <c r="I51" s="18" t="s">
        <v>606</v>
      </c>
      <c r="J51" s="18" t="s">
        <v>607</v>
      </c>
      <c r="K51" s="31"/>
      <c r="L51" s="18"/>
      <c r="M51" s="38" t="str" cm="1">
        <f t="array" ref="M51">_xlfn.LET(_xlpm.x,_xlfn.XLOOKUP(Hot_Leads[[#This Row],[Phone]],Dashboard!$M$44:$M$58,Dashboard!$J$44:$J$58,""),IF(_xlpm.x&lt;&gt;"",_xlpm.x,Hot_Leads[[#This Row],[Next Follow Up Notes]]))</f>
        <v>كلمه يوم السبت و حاول تحدد معاه ميعاد تزوره فيه</v>
      </c>
      <c r="N51" s="331" t="str" cm="1">
        <f t="array" ref="N51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52" spans="1:14" ht="51">
      <c r="A52" s="15" t="s">
        <v>80</v>
      </c>
      <c r="B52" s="52">
        <v>966505520073</v>
      </c>
      <c r="C52" s="18" t="s">
        <v>586</v>
      </c>
      <c r="D52" s="18"/>
      <c r="E52" s="17" t="s">
        <v>31</v>
      </c>
      <c r="F52" s="14"/>
      <c r="G52" s="14" t="s">
        <v>548</v>
      </c>
      <c r="H52" s="31">
        <v>46146</v>
      </c>
      <c r="I52" s="18" t="s">
        <v>608</v>
      </c>
      <c r="J52" s="18" t="s">
        <v>81</v>
      </c>
      <c r="K52" s="31"/>
      <c r="L52" s="18"/>
      <c r="M52" s="38" t="str" cm="1">
        <f t="array" ref="M52">_xlfn.LET(_xlpm.x,_xlfn.XLOOKUP(Hot_Leads[[#This Row],[Phone]],Dashboard!$M$44:$M$58,Dashboard!$J$44:$J$58,""),IF(_xlpm.x&lt;&gt;"",_xlpm.x,Hot_Leads[[#This Row],[Next Follow Up Notes]]))</f>
        <v>حدد معاه ميتنج يوم الثلاثاء 6/5/2026</v>
      </c>
      <c r="N52" s="331" cm="1">
        <f t="array" ref="N52">_xlfn.LET(_xlpm.x,_xlfn.XLOOKUP(Hot_Leads[[#This Row],[Phone]],Dashboard!$M$44:$M$58,Dashboard!$K$44:$K$58,""),_xlpm.orig,Hot_Leads[[#This Row],[Next Follow Up Date]],IF(_xlpm.x&lt;&gt;"",_xlpm.x,IF(OR(_xlpm.orig="",_xlpm.orig=0),"",_xlpm.orig)))</f>
        <v>46148</v>
      </c>
    </row>
    <row r="53" spans="1:14" ht="38.25">
      <c r="A53" s="15" t="s">
        <v>85</v>
      </c>
      <c r="B53" s="52">
        <v>966557077244</v>
      </c>
      <c r="C53" s="18" t="s">
        <v>609</v>
      </c>
      <c r="D53" s="18"/>
      <c r="E53" s="17" t="s">
        <v>31</v>
      </c>
      <c r="F53" s="14"/>
      <c r="G53" s="14" t="s">
        <v>610</v>
      </c>
      <c r="H53" s="31">
        <v>46146</v>
      </c>
      <c r="I53" s="18" t="s">
        <v>611</v>
      </c>
      <c r="J53" s="18" t="s">
        <v>86</v>
      </c>
      <c r="K53" s="31"/>
      <c r="L53" s="18"/>
      <c r="M53" s="38" t="str" cm="1">
        <f t="array" ref="M53">_xlfn.LET(_xlpm.x,_xlfn.XLOOKUP(Hot_Leads[[#This Row],[Phone]],Dashboard!$M$44:$M$58,Dashboard!$J$44:$J$58,""),IF(_xlpm.x&lt;&gt;"",_xlpm.x,Hot_Leads[[#This Row],[Next Follow Up Notes]]))</f>
        <v>خد منه رقم حد من المهندسين او لوكيشن الشركة</v>
      </c>
      <c r="N53" s="331" cm="1">
        <f t="array" ref="N53">_xlfn.LET(_xlpm.x,_xlfn.XLOOKUP(Hot_Leads[[#This Row],[Phone]],Dashboard!$M$44:$M$58,Dashboard!$K$44:$K$58,""),_xlpm.orig,Hot_Leads[[#This Row],[Next Follow Up Date]],IF(_xlpm.x&lt;&gt;"",_xlpm.x,IF(OR(_xlpm.orig="",_xlpm.orig=0),"",_xlpm.orig)))</f>
        <v>46149</v>
      </c>
    </row>
    <row r="54" spans="1:14" ht="38.25">
      <c r="A54" s="18" t="s">
        <v>612</v>
      </c>
      <c r="B54" s="52" t="s">
        <v>466</v>
      </c>
      <c r="C54" s="18" t="s">
        <v>612</v>
      </c>
      <c r="D54" s="18"/>
      <c r="E54" s="17" t="s">
        <v>31</v>
      </c>
      <c r="F54" s="14"/>
      <c r="G54" s="14"/>
      <c r="H54" s="31">
        <v>46146</v>
      </c>
      <c r="I54" s="18" t="s">
        <v>613</v>
      </c>
      <c r="J54" s="18" t="s">
        <v>614</v>
      </c>
      <c r="K54" s="31"/>
      <c r="L54" s="18"/>
      <c r="M54" s="38" t="str" cm="1">
        <f t="array" ref="M54">_xlfn.LET(_xlpm.x,_xlfn.XLOOKUP(Hot_Leads[[#This Row],[Phone]],Dashboard!$M$44:$M$58,Dashboard!$J$44:$J$58,""),IF(_xlpm.x&lt;&gt;"",_xlpm.x,Hot_Leads[[#This Row],[Next Follow Up Notes]]))</f>
        <v xml:space="preserve">اوصل لحد من الشركة </v>
      </c>
      <c r="N54" s="331" t="str" cm="1">
        <f t="array" ref="N5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55" spans="1:14" ht="38.25">
      <c r="A55" s="18" t="s">
        <v>615</v>
      </c>
      <c r="B55" s="52" t="s">
        <v>466</v>
      </c>
      <c r="C55" s="18" t="s">
        <v>615</v>
      </c>
      <c r="D55" s="18"/>
      <c r="E55" s="17" t="s">
        <v>31</v>
      </c>
      <c r="F55" s="14"/>
      <c r="G55" s="14"/>
      <c r="H55" s="31">
        <v>46146</v>
      </c>
      <c r="I55" s="18" t="s">
        <v>616</v>
      </c>
      <c r="J55" s="18" t="s">
        <v>614</v>
      </c>
      <c r="K55" s="31"/>
      <c r="L55" s="18"/>
      <c r="M55" s="38" t="str" cm="1">
        <f t="array" ref="M55">_xlfn.LET(_xlpm.x,_xlfn.XLOOKUP(Hot_Leads[[#This Row],[Phone]],Dashboard!$M$44:$M$58,Dashboard!$J$44:$J$58,""),IF(_xlpm.x&lt;&gt;"",_xlpm.x,Hot_Leads[[#This Row],[Next Follow Up Notes]]))</f>
        <v xml:space="preserve">اوصل لحد من الشركة </v>
      </c>
      <c r="N55" s="331" t="str" cm="1">
        <f t="array" ref="N5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56" spans="1:14" ht="38.25">
      <c r="A56" s="18" t="s">
        <v>617</v>
      </c>
      <c r="B56" s="52" t="s">
        <v>466</v>
      </c>
      <c r="C56" s="18" t="s">
        <v>617</v>
      </c>
      <c r="D56" s="18"/>
      <c r="E56" s="17" t="s">
        <v>31</v>
      </c>
      <c r="F56" s="14"/>
      <c r="G56" s="14"/>
      <c r="H56" s="31">
        <v>46146</v>
      </c>
      <c r="I56" s="18" t="s">
        <v>618</v>
      </c>
      <c r="J56" s="18" t="s">
        <v>614</v>
      </c>
      <c r="K56" s="31"/>
      <c r="L56" s="18"/>
      <c r="M56" s="38" t="str" cm="1">
        <f t="array" ref="M56">_xlfn.LET(_xlpm.x,_xlfn.XLOOKUP(Hot_Leads[[#This Row],[Phone]],Dashboard!$M$44:$M$58,Dashboard!$J$44:$J$58,""),IF(_xlpm.x&lt;&gt;"",_xlpm.x,Hot_Leads[[#This Row],[Next Follow Up Notes]]))</f>
        <v xml:space="preserve">اوصل لحد من الشركة </v>
      </c>
      <c r="N56" s="331" t="str" cm="1">
        <f t="array" ref="N56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57" spans="1:14" ht="51">
      <c r="A57" s="18" t="s">
        <v>619</v>
      </c>
      <c r="B57" s="52" t="s">
        <v>466</v>
      </c>
      <c r="C57" s="18" t="s">
        <v>619</v>
      </c>
      <c r="D57" s="18"/>
      <c r="E57" s="17" t="s">
        <v>31</v>
      </c>
      <c r="F57" s="14"/>
      <c r="G57" s="14"/>
      <c r="H57" s="31">
        <v>46146</v>
      </c>
      <c r="I57" s="18" t="s">
        <v>620</v>
      </c>
      <c r="J57" s="18" t="s">
        <v>614</v>
      </c>
      <c r="K57" s="31"/>
      <c r="L57" s="18"/>
      <c r="M57" s="38" t="str" cm="1">
        <f t="array" ref="M57">_xlfn.LET(_xlpm.x,_xlfn.XLOOKUP(Hot_Leads[[#This Row],[Phone]],Dashboard!$M$44:$M$58,Dashboard!$J$44:$J$58,""),IF(_xlpm.x&lt;&gt;"",_xlpm.x,Hot_Leads[[#This Row],[Next Follow Up Notes]]))</f>
        <v xml:space="preserve">اوصل لحد من الشركة </v>
      </c>
      <c r="N57" s="331" t="str" cm="1">
        <f t="array" ref="N57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58" spans="1:14" ht="38.25">
      <c r="A58" s="18" t="s">
        <v>621</v>
      </c>
      <c r="B58" s="52" t="s">
        <v>466</v>
      </c>
      <c r="C58" s="18" t="s">
        <v>621</v>
      </c>
      <c r="D58" s="18"/>
      <c r="E58" s="17" t="s">
        <v>31</v>
      </c>
      <c r="F58" s="14"/>
      <c r="G58" s="14"/>
      <c r="H58" s="31">
        <v>46146</v>
      </c>
      <c r="I58" s="18" t="s">
        <v>622</v>
      </c>
      <c r="J58" s="18" t="s">
        <v>614</v>
      </c>
      <c r="K58" s="31"/>
      <c r="L58" s="18"/>
      <c r="M58" s="38" t="str" cm="1">
        <f t="array" ref="M58">_xlfn.LET(_xlpm.x,_xlfn.XLOOKUP(Hot_Leads[[#This Row],[Phone]],Dashboard!$M$44:$M$58,Dashboard!$J$44:$J$58,""),IF(_xlpm.x&lt;&gt;"",_xlpm.x,Hot_Leads[[#This Row],[Next Follow Up Notes]]))</f>
        <v xml:space="preserve">اوصل لحد من الشركة </v>
      </c>
      <c r="N58" s="331" t="str" cm="1">
        <f t="array" ref="N58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59" spans="1:14" ht="38.25">
      <c r="A59" s="15" t="s">
        <v>241</v>
      </c>
      <c r="B59" s="52">
        <v>966582792050</v>
      </c>
      <c r="C59" s="18" t="s">
        <v>623</v>
      </c>
      <c r="D59" s="18"/>
      <c r="E59" s="17" t="s">
        <v>31</v>
      </c>
      <c r="F59" s="14"/>
      <c r="G59" s="14"/>
      <c r="H59" s="31">
        <v>46148</v>
      </c>
      <c r="I59" s="18" t="s">
        <v>624</v>
      </c>
      <c r="J59" s="18" t="s">
        <v>625</v>
      </c>
      <c r="K59" s="31"/>
      <c r="L59" s="18"/>
      <c r="M59" s="38" t="str" cm="1">
        <f t="array" ref="M59">_xlfn.LET(_xlpm.x,_xlfn.XLOOKUP(Hot_Leads[[#This Row],[Phone]],Dashboard!$M$44:$M$58,Dashboard!$J$44:$J$58,""),IF(_xlpm.x&lt;&gt;"",_xlpm.x,Hot_Leads[[#This Row],[Next Follow Up Notes]]))</f>
        <v xml:space="preserve">محتاج اتابع المشاريع الي اترفعت هتخلص امتى ضروري جدا بحد اقصى يوم السسبت </v>
      </c>
      <c r="N59" s="331" t="str" cm="1">
        <f t="array" ref="N5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60" spans="1:14" ht="102">
      <c r="A60" s="15" t="s">
        <v>238</v>
      </c>
      <c r="B60" s="52">
        <v>966537929837</v>
      </c>
      <c r="C60" s="18" t="s">
        <v>416</v>
      </c>
      <c r="D60" s="18"/>
      <c r="E60" s="17" t="s">
        <v>31</v>
      </c>
      <c r="F60" s="14"/>
      <c r="G60" s="14" t="s">
        <v>474</v>
      </c>
      <c r="H60" s="31">
        <v>46147</v>
      </c>
      <c r="I60" s="18" t="s">
        <v>626</v>
      </c>
      <c r="J60" s="18" t="s">
        <v>627</v>
      </c>
      <c r="K60" s="31"/>
      <c r="L60" s="18"/>
      <c r="M60" s="38" t="str" cm="1">
        <f t="array" ref="M60">_xlfn.LET(_xlpm.x,_xlfn.XLOOKUP(Hot_Leads[[#This Row],[Phone]],Dashboard!$M$44:$M$58,Dashboard!$J$44:$J$58,""),IF(_xlpm.x&lt;&gt;"",_xlpm.x,Hot_Leads[[#This Row],[Next Follow Up Notes]]))</f>
        <v>تابع الكوتيشن</v>
      </c>
      <c r="N60" s="331" t="str" cm="1">
        <f t="array" ref="N60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61" spans="1:14" ht="51">
      <c r="A61" s="15" t="s">
        <v>628</v>
      </c>
      <c r="B61" s="52">
        <v>966533315768</v>
      </c>
      <c r="C61" s="18" t="s">
        <v>629</v>
      </c>
      <c r="D61" s="18"/>
      <c r="E61" s="17" t="s">
        <v>31</v>
      </c>
      <c r="F61" s="14"/>
      <c r="G61" s="14" t="s">
        <v>426</v>
      </c>
      <c r="H61" s="31">
        <v>46147</v>
      </c>
      <c r="I61" s="18" t="s">
        <v>630</v>
      </c>
      <c r="J61" s="18" t="s">
        <v>197</v>
      </c>
      <c r="K61" s="31"/>
      <c r="L61" s="18"/>
      <c r="M61" s="38" t="str" cm="1">
        <f t="array" ref="M61">_xlfn.LET(_xlpm.x,_xlfn.XLOOKUP(Hot_Leads[[#This Row],[Phone]],Dashboard!$M$44:$M$58,Dashboard!$J$44:$J$58,""),IF(_xlpm.x&lt;&gt;"",_xlpm.x,Hot_Leads[[#This Row],[Next Follow Up Notes]]))</f>
        <v>Follow Up</v>
      </c>
      <c r="N61" s="331" t="str" cm="1">
        <f t="array" ref="N61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62" spans="1:14" ht="30">
      <c r="A62" s="15" t="s">
        <v>631</v>
      </c>
      <c r="B62" s="52">
        <v>966549065163</v>
      </c>
      <c r="C62" s="18" t="s">
        <v>632</v>
      </c>
      <c r="D62" s="18"/>
      <c r="E62" s="17" t="s">
        <v>40</v>
      </c>
      <c r="F62" s="14"/>
      <c r="G62" s="14" t="s">
        <v>592</v>
      </c>
      <c r="H62" s="31">
        <v>46152</v>
      </c>
      <c r="I62" s="18" t="s">
        <v>633</v>
      </c>
      <c r="J62" s="18" t="s">
        <v>634</v>
      </c>
      <c r="K62" s="31"/>
      <c r="L62" s="18"/>
      <c r="M62" s="38" t="str" cm="1">
        <f t="array" ref="M62">_xlfn.LET(_xlpm.x,_xlfn.XLOOKUP(Hot_Leads[[#This Row],[Phone]],Dashboard!$M$44:$M$58,Dashboard!$J$44:$J$58,""),IF(_xlpm.x&lt;&gt;"",_xlpm.x,Hot_Leads[[#This Row],[Next Follow Up Notes]]))</f>
        <v>Waiting for my reply on the quotation</v>
      </c>
      <c r="N62" s="331" t="str" cm="1">
        <f t="array" ref="N62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63" spans="1:14" ht="25.5">
      <c r="A63" s="15" t="s">
        <v>635</v>
      </c>
      <c r="B63" s="52">
        <v>966541053223</v>
      </c>
      <c r="C63" s="18" t="s">
        <v>636</v>
      </c>
      <c r="D63" s="18"/>
      <c r="E63" s="17" t="s">
        <v>40</v>
      </c>
      <c r="F63" s="14"/>
      <c r="G63" s="14" t="s">
        <v>510</v>
      </c>
      <c r="H63" s="31">
        <v>46152</v>
      </c>
      <c r="I63" s="18" t="s">
        <v>637</v>
      </c>
      <c r="J63" s="18" t="s">
        <v>638</v>
      </c>
      <c r="K63" s="31"/>
      <c r="L63" s="18"/>
      <c r="M63" s="38" t="str" cm="1">
        <f t="array" ref="M63">_xlfn.LET(_xlpm.x,_xlfn.XLOOKUP(Hot_Leads[[#This Row],[Phone]],Dashboard!$M$44:$M$58,Dashboard!$J$44:$J$58,""),IF(_xlpm.x&lt;&gt;"",_xlpm.x,Hot_Leads[[#This Row],[Next Follow Up Notes]]))</f>
        <v>Send him the quotation Urgently</v>
      </c>
      <c r="N63" s="331" t="str" cm="1">
        <f t="array" ref="N6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64" spans="1:14" ht="38.25">
      <c r="A64" s="15" t="s">
        <v>639</v>
      </c>
      <c r="B64" s="52">
        <v>966573044009</v>
      </c>
      <c r="C64" s="18" t="s">
        <v>640</v>
      </c>
      <c r="D64" s="18"/>
      <c r="E64" s="17" t="s">
        <v>31</v>
      </c>
      <c r="F64" s="14"/>
      <c r="G64" s="14" t="s">
        <v>510</v>
      </c>
      <c r="H64" s="31">
        <v>46152</v>
      </c>
      <c r="I64" s="18" t="s">
        <v>641</v>
      </c>
      <c r="J64" s="18" t="s">
        <v>642</v>
      </c>
      <c r="K64" s="31"/>
      <c r="L64" s="18"/>
      <c r="M64" s="38" t="str" cm="1">
        <f t="array" ref="M64">_xlfn.LET(_xlpm.x,_xlfn.XLOOKUP(Hot_Leads[[#This Row],[Phone]],Dashboard!$M$44:$M$58,Dashboard!$J$44:$J$58,""),IF(_xlpm.x&lt;&gt;"",_xlpm.x,Hot_Leads[[#This Row],[Next Follow Up Notes]]))</f>
        <v xml:space="preserve">Follow Up </v>
      </c>
      <c r="N64" s="331" t="str" cm="1">
        <f t="array" ref="N6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65" spans="1:14" ht="51">
      <c r="A65" s="15" t="s">
        <v>643</v>
      </c>
      <c r="B65" s="52">
        <v>966535501124</v>
      </c>
      <c r="C65" s="18" t="s">
        <v>644</v>
      </c>
      <c r="D65" s="18"/>
      <c r="E65" s="17" t="s">
        <v>31</v>
      </c>
      <c r="F65" s="14"/>
      <c r="G65" s="14" t="s">
        <v>426</v>
      </c>
      <c r="H65" s="31">
        <v>46152</v>
      </c>
      <c r="I65" s="18" t="s">
        <v>645</v>
      </c>
      <c r="J65" s="18" t="s">
        <v>476</v>
      </c>
      <c r="K65" s="31"/>
      <c r="L65" s="18"/>
      <c r="M65" s="38" t="str" cm="1">
        <f t="array" ref="M65">_xlfn.LET(_xlpm.x,_xlfn.XLOOKUP(Hot_Leads[[#This Row],[Phone]],Dashboard!$M$44:$M$58,Dashboard!$J$44:$J$58,""),IF(_xlpm.x&lt;&gt;"",_xlpm.x,Hot_Leads[[#This Row],[Next Follow Up Notes]]))</f>
        <v>Follow up Next Week</v>
      </c>
      <c r="N65" s="331" t="str" cm="1">
        <f t="array" ref="N6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66" spans="1:14" ht="60">
      <c r="A66" s="15" t="s">
        <v>646</v>
      </c>
      <c r="B66" s="52">
        <v>966541554364</v>
      </c>
      <c r="C66" s="18" t="s">
        <v>632</v>
      </c>
      <c r="D66" s="18"/>
      <c r="E66" s="17" t="s">
        <v>40</v>
      </c>
      <c r="F66" s="14"/>
      <c r="G66" s="14" t="s">
        <v>647</v>
      </c>
      <c r="H66" s="31">
        <v>46153</v>
      </c>
      <c r="I66" s="18" t="s">
        <v>648</v>
      </c>
      <c r="J66" s="18" t="s">
        <v>649</v>
      </c>
      <c r="K66" s="31"/>
      <c r="L66" s="18"/>
      <c r="M66" s="38" t="str" cm="1">
        <f t="array" ref="M66">_xlfn.LET(_xlpm.x,_xlfn.XLOOKUP(Hot_Leads[[#This Row],[Phone]],Dashboard!$M$44:$M$58,Dashboard!$J$44:$J$58,""),IF(_xlpm.x&lt;&gt;"",_xlpm.x,Hot_Leads[[#This Row],[Next Follow Up Notes]]))</f>
        <v>مستني الديسكاونت لما اقعد مع العميل نفسه هناك</v>
      </c>
      <c r="N66" s="331" t="str" cm="1">
        <f t="array" ref="N66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67" spans="1:14" ht="25.5">
      <c r="A67" s="15" t="s">
        <v>246</v>
      </c>
      <c r="B67" s="52">
        <v>966581469699</v>
      </c>
      <c r="C67" s="18" t="s">
        <v>650</v>
      </c>
      <c r="D67" s="18"/>
      <c r="E67" s="17"/>
      <c r="F67" s="47" t="s">
        <v>651</v>
      </c>
      <c r="G67" s="14"/>
      <c r="H67" s="31"/>
      <c r="I67" s="18"/>
      <c r="J67" s="18"/>
      <c r="K67" s="31"/>
      <c r="L67" s="18"/>
      <c r="M67" s="38" cm="1">
        <f t="array" ref="M67">_xlfn.LET(_xlpm.x,_xlfn.XLOOKUP(Hot_Leads[[#This Row],[Phone]],Dashboard!$M$44:$M$58,Dashboard!$J$44:$J$58,""),IF(_xlpm.x&lt;&gt;"",_xlpm.x,Hot_Leads[[#This Row],[Next Follow Up Notes]]))</f>
        <v>0</v>
      </c>
      <c r="N67" s="331" t="str" cm="1">
        <f t="array" ref="N67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68" spans="1:14" ht="92.25" customHeight="1">
      <c r="A68" s="15" t="s">
        <v>652</v>
      </c>
      <c r="B68" s="52">
        <v>201014492936</v>
      </c>
      <c r="C68" s="18" t="s">
        <v>653</v>
      </c>
      <c r="D68" s="18"/>
      <c r="E68" s="17"/>
      <c r="F68" s="47" t="s">
        <v>654</v>
      </c>
      <c r="G68" s="14" t="s">
        <v>655</v>
      </c>
      <c r="H68" s="31">
        <v>46163</v>
      </c>
      <c r="I68" s="18" t="s">
        <v>656</v>
      </c>
      <c r="J68" s="18"/>
      <c r="K68" s="31"/>
      <c r="L68" s="18"/>
      <c r="M68" s="38" cm="1">
        <f t="array" ref="M68">_xlfn.LET(_xlpm.x,_xlfn.XLOOKUP(Hot_Leads[[#This Row],[Phone]],Dashboard!$M$44:$M$58,Dashboard!$J$44:$J$58,""),IF(_xlpm.x&lt;&gt;"",_xlpm.x,Hot_Leads[[#This Row],[Next Follow Up Notes]]))</f>
        <v>0</v>
      </c>
      <c r="N68" s="331" t="str" cm="1">
        <f t="array" ref="N68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69" spans="1:14" ht="30">
      <c r="A69" s="15" t="s">
        <v>657</v>
      </c>
      <c r="B69" s="52">
        <v>966500605363</v>
      </c>
      <c r="C69" s="18" t="s">
        <v>658</v>
      </c>
      <c r="D69" s="18"/>
      <c r="E69" s="17"/>
      <c r="F69" s="14"/>
      <c r="G69" s="14" t="s">
        <v>659</v>
      </c>
      <c r="H69" s="31">
        <v>46159</v>
      </c>
      <c r="I69" s="18" t="s">
        <v>660</v>
      </c>
      <c r="J69" s="18"/>
      <c r="K69" s="31"/>
      <c r="L69" s="18"/>
      <c r="M69" s="38" cm="1">
        <f t="array" ref="M69">_xlfn.LET(_xlpm.x,_xlfn.XLOOKUP(Hot_Leads[[#This Row],[Phone]],Dashboard!$M$44:$M$58,Dashboard!$J$44:$J$58,""),IF(_xlpm.x&lt;&gt;"",_xlpm.x,Hot_Leads[[#This Row],[Next Follow Up Notes]]))</f>
        <v>0</v>
      </c>
      <c r="N69" s="331" t="str" cm="1">
        <f t="array" ref="N6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70" spans="1:14" ht="63.75">
      <c r="A70" s="15" t="s">
        <v>661</v>
      </c>
      <c r="B70" s="52">
        <v>966596223487</v>
      </c>
      <c r="C70" s="18" t="s">
        <v>662</v>
      </c>
      <c r="D70" s="18"/>
      <c r="E70" s="17" t="s">
        <v>34</v>
      </c>
      <c r="F70" s="14"/>
      <c r="G70" s="14" t="s">
        <v>659</v>
      </c>
      <c r="H70" s="31">
        <v>46161</v>
      </c>
      <c r="I70" s="18" t="s">
        <v>663</v>
      </c>
      <c r="J70" s="18"/>
      <c r="K70" s="31"/>
      <c r="L70" s="18"/>
      <c r="M70" s="38" cm="1">
        <f t="array" ref="M70">_xlfn.LET(_xlpm.x,_xlfn.XLOOKUP(Hot_Leads[[#This Row],[Phone]],Dashboard!$M$44:$M$58,Dashboard!$J$44:$J$58,""),IF(_xlpm.x&lt;&gt;"",_xlpm.x,Hot_Leads[[#This Row],[Next Follow Up Notes]]))</f>
        <v>0</v>
      </c>
      <c r="N70" s="331" t="str" cm="1">
        <f t="array" ref="N70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71" spans="1:14" ht="114.75">
      <c r="A71" s="19" t="s">
        <v>664</v>
      </c>
      <c r="B71" s="52">
        <v>966509409233</v>
      </c>
      <c r="C71" s="18" t="s">
        <v>665</v>
      </c>
      <c r="D71" s="18"/>
      <c r="E71" s="17" t="s">
        <v>34</v>
      </c>
      <c r="F71" s="14"/>
      <c r="G71" s="14" t="s">
        <v>659</v>
      </c>
      <c r="H71" s="31">
        <v>46162</v>
      </c>
      <c r="I71" s="18" t="s">
        <v>666</v>
      </c>
      <c r="J71" s="18"/>
      <c r="K71" s="31"/>
      <c r="L71" s="18"/>
      <c r="M71" s="38" cm="1">
        <f t="array" ref="M71">_xlfn.LET(_xlpm.x,_xlfn.XLOOKUP(Hot_Leads[[#This Row],[Phone]],Dashboard!$M$44:$M$58,Dashboard!$J$44:$J$58,""),IF(_xlpm.x&lt;&gt;"",_xlpm.x,Hot_Leads[[#This Row],[Next Follow Up Notes]]))</f>
        <v>0</v>
      </c>
      <c r="N71" s="331" t="str" cm="1">
        <f t="array" ref="N71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72" spans="1:14" ht="15">
      <c r="A72" s="19" t="s">
        <v>667</v>
      </c>
      <c r="B72" s="52">
        <v>966553205344</v>
      </c>
      <c r="C72" s="18" t="s">
        <v>668</v>
      </c>
      <c r="D72" s="18"/>
      <c r="E72" s="17"/>
      <c r="F72" s="14"/>
      <c r="G72" s="14"/>
      <c r="H72" s="31">
        <v>46162</v>
      </c>
      <c r="I72" s="18" t="s">
        <v>669</v>
      </c>
      <c r="J72" s="18"/>
      <c r="K72" s="31"/>
      <c r="L72" s="18"/>
      <c r="M72" s="38" cm="1">
        <f t="array" ref="M72">_xlfn.LET(_xlpm.x,_xlfn.XLOOKUP(Hot_Leads[[#This Row],[Phone]],Dashboard!$M$44:$M$58,Dashboard!$J$44:$J$58,""),IF(_xlpm.x&lt;&gt;"",_xlpm.x,Hot_Leads[[#This Row],[Next Follow Up Notes]]))</f>
        <v>0</v>
      </c>
      <c r="N72" s="331" t="str" cm="1">
        <f t="array" ref="N72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73" spans="1:14" ht="38.25">
      <c r="A73" s="19" t="s">
        <v>670</v>
      </c>
      <c r="B73" s="52">
        <v>966546881473</v>
      </c>
      <c r="C73" s="18" t="s">
        <v>671</v>
      </c>
      <c r="D73" s="18"/>
      <c r="E73" s="17"/>
      <c r="F73" s="14"/>
      <c r="G73" s="14"/>
      <c r="H73" s="31">
        <v>46162</v>
      </c>
      <c r="I73" s="18" t="s">
        <v>672</v>
      </c>
      <c r="J73" s="18"/>
      <c r="K73" s="31"/>
      <c r="L73" s="18"/>
      <c r="M73" s="38" cm="1">
        <f t="array" ref="M73">_xlfn.LET(_xlpm.x,_xlfn.XLOOKUP(Hot_Leads[[#This Row],[Phone]],Dashboard!$M$44:$M$58,Dashboard!$J$44:$J$58,""),IF(_xlpm.x&lt;&gt;"",_xlpm.x,Hot_Leads[[#This Row],[Next Follow Up Notes]]))</f>
        <v>0</v>
      </c>
      <c r="N73" s="331" t="str" cm="1">
        <f t="array" ref="N7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74" spans="1:14" ht="30">
      <c r="A74" s="19" t="s">
        <v>274</v>
      </c>
      <c r="B74" s="52">
        <v>966547160894</v>
      </c>
      <c r="C74" s="18" t="s">
        <v>673</v>
      </c>
      <c r="D74" s="18"/>
      <c r="E74" s="17" t="s">
        <v>31</v>
      </c>
      <c r="F74" s="47" t="s">
        <v>674</v>
      </c>
      <c r="G74" s="14" t="s">
        <v>592</v>
      </c>
      <c r="H74" s="31">
        <v>46176</v>
      </c>
      <c r="I74" s="18"/>
      <c r="J74" s="18"/>
      <c r="K74" s="31"/>
      <c r="L74" s="18"/>
      <c r="M74" s="38" cm="1">
        <f t="array" ref="M74">_xlfn.LET(_xlpm.x,_xlfn.XLOOKUP(Hot_Leads[[#This Row],[Phone]],Dashboard!$M$44:$M$58,Dashboard!$J$44:$J$58,""),IF(_xlpm.x&lt;&gt;"",_xlpm.x,Hot_Leads[[#This Row],[Next Follow Up Notes]]))</f>
        <v>0</v>
      </c>
      <c r="N74" s="331" t="str" cm="1">
        <f t="array" ref="N7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75" spans="1:14" ht="15">
      <c r="A75" s="19" t="s">
        <v>675</v>
      </c>
      <c r="B75" s="52">
        <v>966540419448</v>
      </c>
      <c r="C75" s="18" t="s">
        <v>416</v>
      </c>
      <c r="D75" s="18"/>
      <c r="E75" s="17"/>
      <c r="F75" s="14"/>
      <c r="G75" s="14"/>
      <c r="H75" s="31"/>
      <c r="I75" s="18"/>
      <c r="J75" s="18"/>
      <c r="K75" s="31"/>
      <c r="L75" s="18"/>
      <c r="M75" s="38" cm="1">
        <f t="array" ref="M75">_xlfn.LET(_xlpm.x,_xlfn.XLOOKUP(Hot_Leads[[#This Row],[Phone]],Dashboard!$M$44:$M$58,Dashboard!$J$44:$J$58,""),IF(_xlpm.x&lt;&gt;"",_xlpm.x,Hot_Leads[[#This Row],[Next Follow Up Notes]]))</f>
        <v>0</v>
      </c>
      <c r="N75" s="331" t="str" cm="1">
        <f t="array" ref="N7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76" spans="1:14" ht="38.25">
      <c r="A76" s="19" t="s">
        <v>676</v>
      </c>
      <c r="B76" s="52">
        <v>966551514407</v>
      </c>
      <c r="C76" s="18" t="s">
        <v>677</v>
      </c>
      <c r="D76" s="18"/>
      <c r="E76" s="17" t="s">
        <v>37</v>
      </c>
      <c r="F76" s="47" t="s">
        <v>678</v>
      </c>
      <c r="G76" s="14"/>
      <c r="H76" s="31">
        <v>46180</v>
      </c>
      <c r="I76" s="18"/>
      <c r="J76" s="18"/>
      <c r="K76" s="31"/>
      <c r="L76" s="18"/>
      <c r="M76" s="38" cm="1">
        <f t="array" ref="M76">_xlfn.LET(_xlpm.x,_xlfn.XLOOKUP(Hot_Leads[[#This Row],[Phone]],Dashboard!$M$44:$M$58,Dashboard!$J$44:$J$58,""),IF(_xlpm.x&lt;&gt;"",_xlpm.x,Hot_Leads[[#This Row],[Next Follow Up Notes]]))</f>
        <v>0</v>
      </c>
      <c r="N76" s="331" t="str" cm="1">
        <f t="array" ref="N76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77" spans="1:14" ht="54.75" customHeight="1">
      <c r="A77" s="19" t="s">
        <v>679</v>
      </c>
      <c r="B77" s="52">
        <v>966504612747</v>
      </c>
      <c r="C77" s="18" t="s">
        <v>680</v>
      </c>
      <c r="D77" s="18"/>
      <c r="E77" s="17" t="s">
        <v>31</v>
      </c>
      <c r="F77" s="47" t="s">
        <v>681</v>
      </c>
      <c r="G77" s="14" t="s">
        <v>474</v>
      </c>
      <c r="H77" s="31">
        <v>46183</v>
      </c>
      <c r="I77" s="18" t="s">
        <v>682</v>
      </c>
      <c r="J77" s="18"/>
      <c r="K77" s="31"/>
      <c r="L77" s="18"/>
      <c r="M77" s="38" cm="1">
        <f t="array" ref="M77">_xlfn.LET(_xlpm.x,_xlfn.XLOOKUP(Hot_Leads[[#This Row],[Phone]],Dashboard!$M$44:$M$58,Dashboard!$J$44:$J$58,""),IF(_xlpm.x&lt;&gt;"",_xlpm.x,Hot_Leads[[#This Row],[Next Follow Up Notes]]))</f>
        <v>0</v>
      </c>
      <c r="N77" s="331" t="str" cm="1">
        <f t="array" ref="N77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78" spans="1:14" ht="25.5">
      <c r="A78" s="19" t="s">
        <v>683</v>
      </c>
      <c r="B78" s="52">
        <v>966547794011</v>
      </c>
      <c r="C78" s="18" t="s">
        <v>684</v>
      </c>
      <c r="D78" s="18"/>
      <c r="E78" s="17"/>
      <c r="F78" s="14"/>
      <c r="G78" s="14" t="s">
        <v>515</v>
      </c>
      <c r="H78" s="31">
        <v>46221</v>
      </c>
      <c r="I78" s="18" t="s">
        <v>685</v>
      </c>
      <c r="J78" s="18"/>
      <c r="K78" s="31"/>
      <c r="L78" s="18"/>
      <c r="M78" s="38" cm="1">
        <f t="array" ref="M78">_xlfn.LET(_xlpm.x,_xlfn.XLOOKUP(Hot_Leads[[#This Row],[Phone]],Dashboard!$M$44:$M$58,Dashboard!$J$44:$J$58,""),IF(_xlpm.x&lt;&gt;"",_xlpm.x,Hot_Leads[[#This Row],[Next Follow Up Notes]]))</f>
        <v>0</v>
      </c>
      <c r="N78" s="331" t="str" cm="1">
        <f t="array" ref="N78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79" spans="1:14" ht="51">
      <c r="A79" s="278" t="s">
        <v>686</v>
      </c>
      <c r="B79" s="279" t="s">
        <v>687</v>
      </c>
      <c r="C79" s="39" t="s">
        <v>688</v>
      </c>
      <c r="D79" s="18"/>
      <c r="E79" s="17"/>
      <c r="F79" s="14"/>
      <c r="G79" s="14"/>
      <c r="H79" s="31">
        <v>46221</v>
      </c>
      <c r="I79" s="18"/>
      <c r="J79" s="18"/>
      <c r="K79" s="31"/>
      <c r="L79" s="18"/>
      <c r="M79" s="38" cm="1">
        <f t="array" ref="M79">_xlfn.LET(_xlpm.x,_xlfn.XLOOKUP(Hot_Leads[[#This Row],[Phone]],Dashboard!$M$44:$M$58,Dashboard!$J$44:$J$58,""),IF(_xlpm.x&lt;&gt;"",_xlpm.x,Hot_Leads[[#This Row],[Next Follow Up Notes]]))</f>
        <v>0</v>
      </c>
      <c r="N79" s="331" t="str" cm="1">
        <f t="array" ref="N7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80" spans="1:14" ht="38.25">
      <c r="A80" s="280" t="s">
        <v>689</v>
      </c>
      <c r="B80" s="52" t="s">
        <v>690</v>
      </c>
      <c r="C80" s="39" t="s">
        <v>691</v>
      </c>
      <c r="D80" s="18"/>
      <c r="E80" s="17"/>
      <c r="F80" s="14"/>
      <c r="G80" s="14"/>
      <c r="H80" s="31">
        <v>46221</v>
      </c>
      <c r="I80" s="18"/>
      <c r="J80" s="18"/>
      <c r="K80" s="31"/>
      <c r="L80" s="18"/>
      <c r="M80" s="38" cm="1">
        <f t="array" ref="M80">_xlfn.LET(_xlpm.x,_xlfn.XLOOKUP(Hot_Leads[[#This Row],[Phone]],Dashboard!$M$44:$M$58,Dashboard!$J$44:$J$58,""),IF(_xlpm.x&lt;&gt;"",_xlpm.x,Hot_Leads[[#This Row],[Next Follow Up Notes]]))</f>
        <v>0</v>
      </c>
      <c r="N80" s="331" t="str" cm="1">
        <f t="array" ref="N80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81" spans="1:14" ht="25.5">
      <c r="A81" s="280" t="s">
        <v>692</v>
      </c>
      <c r="B81" s="52" t="s">
        <v>693</v>
      </c>
      <c r="C81" s="39" t="s">
        <v>694</v>
      </c>
      <c r="D81" s="18"/>
      <c r="E81" s="17"/>
      <c r="F81" s="14"/>
      <c r="G81" s="14"/>
      <c r="H81" s="31">
        <v>46221</v>
      </c>
      <c r="I81" s="18"/>
      <c r="J81" s="18"/>
      <c r="K81" s="31"/>
      <c r="L81" s="18"/>
      <c r="M81" s="38" cm="1">
        <f t="array" ref="M81">_xlfn.LET(_xlpm.x,_xlfn.XLOOKUP(Hot_Leads[[#This Row],[Phone]],Dashboard!$M$44:$M$58,Dashboard!$J$44:$J$58,""),IF(_xlpm.x&lt;&gt;"",_xlpm.x,Hot_Leads[[#This Row],[Next Follow Up Notes]]))</f>
        <v>0</v>
      </c>
      <c r="N81" s="331" t="str" cm="1">
        <f t="array" ref="N81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82" spans="1:14" ht="25.5">
      <c r="A82" s="280" t="s">
        <v>695</v>
      </c>
      <c r="B82" s="52" t="s">
        <v>696</v>
      </c>
      <c r="C82" s="39" t="s">
        <v>697</v>
      </c>
      <c r="D82" s="18"/>
      <c r="E82" s="17"/>
      <c r="F82" s="14"/>
      <c r="G82" s="14"/>
      <c r="H82" s="31">
        <v>46221</v>
      </c>
      <c r="I82" s="18"/>
      <c r="J82" s="18"/>
      <c r="K82" s="31"/>
      <c r="L82" s="18"/>
      <c r="M82" s="38" cm="1">
        <f t="array" ref="M82">_xlfn.LET(_xlpm.x,_xlfn.XLOOKUP(Hot_Leads[[#This Row],[Phone]],Dashboard!$M$44:$M$58,Dashboard!$J$44:$J$58,""),IF(_xlpm.x&lt;&gt;"",_xlpm.x,Hot_Leads[[#This Row],[Next Follow Up Notes]]))</f>
        <v>0</v>
      </c>
      <c r="N82" s="331" t="str" cm="1">
        <f t="array" ref="N82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83" spans="1:14" ht="15">
      <c r="A83" s="280" t="s">
        <v>698</v>
      </c>
      <c r="B83" s="52" t="s">
        <v>699</v>
      </c>
      <c r="C83" s="39" t="s">
        <v>700</v>
      </c>
      <c r="D83" s="18"/>
      <c r="E83" s="17"/>
      <c r="F83" s="14"/>
      <c r="G83" s="14"/>
      <c r="H83" s="31">
        <v>46221</v>
      </c>
      <c r="I83" s="18"/>
      <c r="J83" s="18"/>
      <c r="K83" s="31"/>
      <c r="L83" s="18"/>
      <c r="M83" s="38" cm="1">
        <f t="array" ref="M83">_xlfn.LET(_xlpm.x,_xlfn.XLOOKUP(Hot_Leads[[#This Row],[Phone]],Dashboard!$M$44:$M$58,Dashboard!$J$44:$J$58,""),IF(_xlpm.x&lt;&gt;"",_xlpm.x,Hot_Leads[[#This Row],[Next Follow Up Notes]]))</f>
        <v>0</v>
      </c>
      <c r="N83" s="331" t="str" cm="1">
        <f t="array" ref="N8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84" spans="1:14" ht="15">
      <c r="A84" s="19" t="s">
        <v>701</v>
      </c>
      <c r="B84" s="52">
        <v>920018200</v>
      </c>
      <c r="C84" s="18" t="s">
        <v>701</v>
      </c>
      <c r="D84" s="18"/>
      <c r="E84" s="17" t="s">
        <v>34</v>
      </c>
      <c r="F84" s="14"/>
      <c r="G84" s="14"/>
      <c r="H84" s="31">
        <v>46221</v>
      </c>
      <c r="I84" s="18"/>
      <c r="J84" s="18"/>
      <c r="K84" s="31"/>
      <c r="L84" s="18"/>
      <c r="M84" s="38" cm="1">
        <f t="array" ref="M84">_xlfn.LET(_xlpm.x,_xlfn.XLOOKUP(Hot_Leads[[#This Row],[Phone]],Dashboard!$M$44:$M$58,Dashboard!$J$44:$J$58,""),IF(_xlpm.x&lt;&gt;"",_xlpm.x,Hot_Leads[[#This Row],[Next Follow Up Notes]]))</f>
        <v>0</v>
      </c>
      <c r="N84" s="331" t="str" cm="1">
        <f t="array" ref="N8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85" spans="1:14" ht="26.25" customHeight="1">
      <c r="A85" s="19" t="s">
        <v>702</v>
      </c>
      <c r="B85" s="52">
        <v>966549806047</v>
      </c>
      <c r="C85" s="18" t="s">
        <v>703</v>
      </c>
      <c r="D85" s="18"/>
      <c r="E85" s="17"/>
      <c r="F85" s="14"/>
      <c r="G85" s="14" t="s">
        <v>426</v>
      </c>
      <c r="H85" s="31">
        <v>46222</v>
      </c>
      <c r="I85" s="18" t="s">
        <v>704</v>
      </c>
      <c r="J85" s="18"/>
      <c r="K85" s="31"/>
      <c r="L85" s="18"/>
      <c r="M85" s="38" cm="1">
        <f t="array" ref="M85">_xlfn.LET(_xlpm.x,_xlfn.XLOOKUP(Hot_Leads[[#This Row],[Phone]],Dashboard!$M$44:$M$58,Dashboard!$J$44:$J$58,""),IF(_xlpm.x&lt;&gt;"",_xlpm.x,Hot_Leads[[#This Row],[Next Follow Up Notes]]))</f>
        <v>0</v>
      </c>
      <c r="N85" s="331" t="str" cm="1">
        <f t="array" ref="N8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86" spans="1:14" ht="30">
      <c r="A86" s="19" t="s">
        <v>705</v>
      </c>
      <c r="B86" s="52">
        <v>966597399509</v>
      </c>
      <c r="C86" s="18" t="s">
        <v>586</v>
      </c>
      <c r="D86" s="18"/>
      <c r="E86" s="17"/>
      <c r="F86" s="14"/>
      <c r="G86" s="14" t="s">
        <v>426</v>
      </c>
      <c r="H86" s="31">
        <v>46222</v>
      </c>
      <c r="I86" s="18" t="s">
        <v>704</v>
      </c>
      <c r="J86" s="18"/>
      <c r="K86" s="31"/>
      <c r="L86" s="18"/>
      <c r="M86" s="38" cm="1">
        <f t="array" ref="M86">_xlfn.LET(_xlpm.x,_xlfn.XLOOKUP(Hot_Leads[[#This Row],[Phone]],Dashboard!$M$44:$M$58,Dashboard!$J$44:$J$58,""),IF(_xlpm.x&lt;&gt;"",_xlpm.x,Hot_Leads[[#This Row],[Next Follow Up Notes]]))</f>
        <v>0</v>
      </c>
      <c r="N86" s="331" t="str" cm="1">
        <f t="array" ref="N86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87" spans="1:14" ht="30">
      <c r="A87" s="19" t="s">
        <v>706</v>
      </c>
      <c r="B87" s="52">
        <v>966534523054</v>
      </c>
      <c r="C87" s="18" t="s">
        <v>707</v>
      </c>
      <c r="D87" s="18"/>
      <c r="E87" s="17"/>
      <c r="F87" s="14"/>
      <c r="G87" s="14" t="s">
        <v>426</v>
      </c>
      <c r="H87" s="31">
        <v>46223</v>
      </c>
      <c r="I87" s="18" t="s">
        <v>708</v>
      </c>
      <c r="J87" s="38"/>
      <c r="K87" s="31"/>
      <c r="L87" s="18"/>
      <c r="M87" s="38" cm="1">
        <f t="array" ref="M87">_xlfn.LET(_xlpm.x,_xlfn.XLOOKUP(Hot_Leads[[#This Row],[Phone]],Dashboard!$M$44:$M$58,Dashboard!$J$44:$J$58,""),IF(_xlpm.x&lt;&gt;"",_xlpm.x,Hot_Leads[[#This Row],[Next Follow Up Notes]]))</f>
        <v>0</v>
      </c>
      <c r="N87" s="331" t="str" cm="1">
        <f t="array" ref="N87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88" spans="1:14" ht="30">
      <c r="A88" s="19" t="s">
        <v>253</v>
      </c>
      <c r="B88" s="52">
        <v>966592851015</v>
      </c>
      <c r="C88" s="18" t="s">
        <v>709</v>
      </c>
      <c r="D88" s="18"/>
      <c r="E88" s="17" t="s">
        <v>40</v>
      </c>
      <c r="F88" s="47" t="s">
        <v>710</v>
      </c>
      <c r="G88" s="14" t="s">
        <v>533</v>
      </c>
      <c r="H88" s="31">
        <v>46224</v>
      </c>
      <c r="I88" s="18" t="s">
        <v>711</v>
      </c>
      <c r="J88" s="18" t="s">
        <v>712</v>
      </c>
      <c r="K88" s="31"/>
      <c r="L88" s="18"/>
      <c r="M88" s="38" t="str" cm="1">
        <f t="array" ref="M88">_xlfn.LET(_xlpm.x,_xlfn.XLOOKUP(Hot_Leads[[#This Row],[Phone]],Dashboard!$M$44:$M$58,Dashboard!$J$44:$J$58,""),IF(_xlpm.x&lt;&gt;"",_xlpm.x,Hot_Leads[[#This Row],[Next Follow Up Notes]]))</f>
        <v>اول ما الكوتيشن تخلص هبعتهاله</v>
      </c>
      <c r="N88" s="331" t="str" cm="1">
        <f t="array" ref="N88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89" spans="1:14" ht="38.25">
      <c r="A89" s="19" t="s">
        <v>713</v>
      </c>
      <c r="B89" s="52">
        <v>966532495219</v>
      </c>
      <c r="C89" s="18" t="s">
        <v>714</v>
      </c>
      <c r="D89" s="18"/>
      <c r="E89" s="17" t="s">
        <v>31</v>
      </c>
      <c r="F89" s="14"/>
      <c r="G89" s="14" t="s">
        <v>474</v>
      </c>
      <c r="H89" s="31">
        <v>46224</v>
      </c>
      <c r="I89" s="18" t="s">
        <v>715</v>
      </c>
      <c r="J89" s="18" t="s">
        <v>716</v>
      </c>
      <c r="K89" s="31"/>
      <c r="L89" s="18"/>
      <c r="M89" s="38" t="str" cm="1">
        <f t="array" ref="M89">_xlfn.LET(_xlpm.x,_xlfn.XLOOKUP(Hot_Leads[[#This Row],[Phone]],Dashboard!$M$44:$M$58,Dashboard!$J$44:$J$58,""),IF(_xlpm.x&lt;&gt;"",_xlpm.x,Hot_Leads[[#This Row],[Next Follow Up Notes]]))</f>
        <v>هبتعله البروفايل</v>
      </c>
      <c r="N89" s="331" t="str" cm="1">
        <f t="array" ref="N8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90" spans="1:14" ht="15">
      <c r="A90" s="19" t="s">
        <v>717</v>
      </c>
      <c r="B90" s="52">
        <v>966580314748</v>
      </c>
      <c r="C90" s="18" t="s">
        <v>718</v>
      </c>
      <c r="D90" s="18"/>
      <c r="E90" s="17" t="s">
        <v>34</v>
      </c>
      <c r="F90" s="14"/>
      <c r="G90" s="14"/>
      <c r="H90" s="31">
        <v>46222</v>
      </c>
      <c r="I90" s="18"/>
      <c r="J90" s="18"/>
      <c r="K90" s="31"/>
      <c r="L90" s="18"/>
      <c r="M90" s="38" cm="1">
        <f t="array" ref="M90">_xlfn.LET(_xlpm.x,_xlfn.XLOOKUP(Hot_Leads[[#This Row],[Phone]],Dashboard!$M$44:$M$58,Dashboard!$J$44:$J$58,""),IF(_xlpm.x&lt;&gt;"",_xlpm.x,Hot_Leads[[#This Row],[Next Follow Up Notes]]))</f>
        <v>0</v>
      </c>
      <c r="N90" s="331" t="str" cm="1">
        <f t="array" ref="N90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91" spans="1:14" ht="25.5">
      <c r="A91" s="19" t="s">
        <v>719</v>
      </c>
      <c r="B91" s="52">
        <v>966561359563</v>
      </c>
      <c r="C91" s="18" t="s">
        <v>720</v>
      </c>
      <c r="D91" s="18"/>
      <c r="E91" s="17" t="s">
        <v>34</v>
      </c>
      <c r="F91" s="14"/>
      <c r="G91" s="14" t="s">
        <v>515</v>
      </c>
      <c r="H91" s="31">
        <v>46222</v>
      </c>
      <c r="I91" s="18" t="s">
        <v>721</v>
      </c>
      <c r="J91" s="18" t="s">
        <v>722</v>
      </c>
      <c r="K91" s="31"/>
      <c r="L91" s="18"/>
      <c r="M91" s="38" t="str" cm="1">
        <f t="array" ref="M91">_xlfn.LET(_xlpm.x,_xlfn.XLOOKUP(Hot_Leads[[#This Row],[Phone]],Dashboard!$M$44:$M$58,Dashboard!$J$44:$J$58,""),IF(_xlpm.x&lt;&gt;"",_xlpm.x,Hot_Leads[[#This Row],[Next Follow Up Notes]]))</f>
        <v>بنخلص رسومات ال GRMS Layout و هنبعتهاله</v>
      </c>
      <c r="N91" s="331" t="str" cm="1">
        <f t="array" ref="N91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92" spans="1:14" ht="15">
      <c r="A92" s="19" t="s">
        <v>723</v>
      </c>
      <c r="B92" s="52">
        <v>966535266629</v>
      </c>
      <c r="C92" s="18" t="s">
        <v>586</v>
      </c>
      <c r="D92" s="18"/>
      <c r="E92" s="17" t="s">
        <v>31</v>
      </c>
      <c r="F92" s="14"/>
      <c r="G92" s="14" t="s">
        <v>515</v>
      </c>
      <c r="H92" s="31">
        <v>46222</v>
      </c>
      <c r="I92" s="18" t="s">
        <v>724</v>
      </c>
      <c r="J92" s="18"/>
      <c r="K92" s="31"/>
      <c r="L92" s="18"/>
      <c r="M92" s="38" cm="1">
        <f t="array" ref="M92">_xlfn.LET(_xlpm.x,_xlfn.XLOOKUP(Hot_Leads[[#This Row],[Phone]],Dashboard!$M$44:$M$58,Dashboard!$J$44:$J$58,""),IF(_xlpm.x&lt;&gt;"",_xlpm.x,Hot_Leads[[#This Row],[Next Follow Up Notes]]))</f>
        <v>0</v>
      </c>
      <c r="N92" s="331" t="str" cm="1">
        <f t="array" ref="N92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93" spans="1:14" ht="25.5">
      <c r="A93" s="19" t="s">
        <v>725</v>
      </c>
      <c r="B93" s="52">
        <v>96655570083</v>
      </c>
      <c r="C93" s="18" t="s">
        <v>726</v>
      </c>
      <c r="D93" s="18"/>
      <c r="E93" s="17" t="s">
        <v>31</v>
      </c>
      <c r="F93" s="14"/>
      <c r="G93" s="14"/>
      <c r="H93" s="31">
        <v>46223</v>
      </c>
      <c r="I93" s="18" t="s">
        <v>727</v>
      </c>
      <c r="J93" s="18"/>
      <c r="K93" s="31"/>
      <c r="L93" s="18"/>
      <c r="M93" s="38" cm="1">
        <f t="array" ref="M93">_xlfn.LET(_xlpm.x,_xlfn.XLOOKUP(Hot_Leads[[#This Row],[Phone]],Dashboard!$M$44:$M$58,Dashboard!$J$44:$J$58,""),IF(_xlpm.x&lt;&gt;"",_xlpm.x,Hot_Leads[[#This Row],[Next Follow Up Notes]]))</f>
        <v>0</v>
      </c>
      <c r="N93" s="331" t="str" cm="1">
        <f t="array" ref="N9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94" spans="1:14" ht="38.25">
      <c r="A94" s="19" t="s">
        <v>728</v>
      </c>
      <c r="B94" s="52">
        <v>966553961953</v>
      </c>
      <c r="C94" s="18" t="s">
        <v>729</v>
      </c>
      <c r="D94" s="18"/>
      <c r="E94" s="17" t="s">
        <v>34</v>
      </c>
      <c r="F94" s="14"/>
      <c r="G94" s="14" t="s">
        <v>515</v>
      </c>
      <c r="H94" s="31">
        <v>46224</v>
      </c>
      <c r="I94" s="18" t="s">
        <v>730</v>
      </c>
      <c r="J94" s="18"/>
      <c r="K94" s="31"/>
      <c r="L94" s="18"/>
      <c r="M94" s="38" cm="1">
        <f t="array" ref="M94">_xlfn.LET(_xlpm.x,_xlfn.XLOOKUP(Hot_Leads[[#This Row],[Phone]],Dashboard!$M$44:$M$58,Dashboard!$J$44:$J$58,""),IF(_xlpm.x&lt;&gt;"",_xlpm.x,Hot_Leads[[#This Row],[Next Follow Up Notes]]))</f>
        <v>0</v>
      </c>
      <c r="N94" s="331" t="str" cm="1">
        <f t="array" ref="N9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95" spans="1:14" ht="25.5">
      <c r="A95" s="19" t="s">
        <v>731</v>
      </c>
      <c r="B95" s="52">
        <v>966562506362</v>
      </c>
      <c r="C95" s="18" t="s">
        <v>732</v>
      </c>
      <c r="D95" s="18"/>
      <c r="E95" s="17" t="s">
        <v>31</v>
      </c>
      <c r="F95" s="14"/>
      <c r="G95" s="14" t="s">
        <v>515</v>
      </c>
      <c r="H95" s="31">
        <v>46228</v>
      </c>
      <c r="I95" s="18" t="s">
        <v>733</v>
      </c>
      <c r="J95" s="18"/>
      <c r="K95" s="31"/>
      <c r="L95" s="18"/>
      <c r="M95" s="38" cm="1">
        <f t="array" ref="M95">_xlfn.LET(_xlpm.x,_xlfn.XLOOKUP(Hot_Leads[[#This Row],[Phone]],Dashboard!$M$44:$M$58,Dashboard!$J$44:$J$58,""),IF(_xlpm.x&lt;&gt;"",_xlpm.x,Hot_Leads[[#This Row],[Next Follow Up Notes]]))</f>
        <v>0</v>
      </c>
      <c r="N95" s="331" t="str" cm="1">
        <f t="array" ref="N9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96" spans="1:14" ht="51">
      <c r="A96" s="19" t="s">
        <v>734</v>
      </c>
      <c r="B96" s="52">
        <v>966593891343</v>
      </c>
      <c r="C96" s="18" t="s">
        <v>735</v>
      </c>
      <c r="D96" s="18"/>
      <c r="E96" s="17" t="s">
        <v>31</v>
      </c>
      <c r="F96" s="14"/>
      <c r="G96" s="14" t="s">
        <v>419</v>
      </c>
      <c r="H96" s="31">
        <v>46228</v>
      </c>
      <c r="I96" s="18" t="s">
        <v>736</v>
      </c>
      <c r="J96" s="18"/>
      <c r="K96" s="31"/>
      <c r="L96" s="18"/>
      <c r="M96" s="38" cm="1">
        <f t="array" ref="M96">_xlfn.LET(_xlpm.x,_xlfn.XLOOKUP(Hot_Leads[[#This Row],[Phone]],Dashboard!$M$44:$M$58,Dashboard!$J$44:$J$58,""),IF(_xlpm.x&lt;&gt;"",_xlpm.x,Hot_Leads[[#This Row],[Next Follow Up Notes]]))</f>
        <v>0</v>
      </c>
      <c r="N96" s="331" t="str" cm="1">
        <f t="array" ref="N96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97" spans="1:14" ht="30">
      <c r="A97" s="19" t="s">
        <v>449</v>
      </c>
      <c r="B97" s="52">
        <v>966509498891</v>
      </c>
      <c r="C97" s="18" t="s">
        <v>737</v>
      </c>
      <c r="D97" s="18"/>
      <c r="E97" s="17" t="s">
        <v>34</v>
      </c>
      <c r="F97" s="14"/>
      <c r="G97" s="14" t="s">
        <v>533</v>
      </c>
      <c r="H97" s="31">
        <v>46226</v>
      </c>
      <c r="I97" s="18" t="s">
        <v>738</v>
      </c>
      <c r="J97" s="18"/>
      <c r="K97" s="31"/>
      <c r="L97" s="18"/>
      <c r="M97" s="38" cm="1">
        <f t="array" ref="M97">_xlfn.LET(_xlpm.x,_xlfn.XLOOKUP(Hot_Leads[[#This Row],[Phone]],Dashboard!$M$44:$M$58,Dashboard!$J$44:$J$58,""),IF(_xlpm.x&lt;&gt;"",_xlpm.x,Hot_Leads[[#This Row],[Next Follow Up Notes]]))</f>
        <v>0</v>
      </c>
      <c r="N97" s="331" t="str" cm="1">
        <f t="array" ref="N97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98" spans="1:14" ht="43.5" customHeight="1">
      <c r="A98" s="19" t="s">
        <v>259</v>
      </c>
      <c r="B98" s="52">
        <v>966545150782</v>
      </c>
      <c r="C98" s="18" t="s">
        <v>739</v>
      </c>
      <c r="D98" s="18"/>
      <c r="E98" s="17" t="s">
        <v>34</v>
      </c>
      <c r="F98" s="14"/>
      <c r="G98" s="14" t="s">
        <v>533</v>
      </c>
      <c r="H98" s="31">
        <v>46230</v>
      </c>
      <c r="I98" s="18" t="s">
        <v>740</v>
      </c>
      <c r="J98" s="18"/>
      <c r="K98" s="31"/>
      <c r="L98" s="18"/>
      <c r="M98" s="38" cm="1">
        <f t="array" ref="M98">_xlfn.LET(_xlpm.x,_xlfn.XLOOKUP(Hot_Leads[[#This Row],[Phone]],Dashboard!$M$44:$M$58,Dashboard!$J$44:$J$58,""),IF(_xlpm.x&lt;&gt;"",_xlpm.x,Hot_Leads[[#This Row],[Next Follow Up Notes]]))</f>
        <v>0</v>
      </c>
      <c r="N98" s="331" t="str" cm="1">
        <f t="array" ref="N98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99" spans="1:14" ht="30">
      <c r="A99" s="19" t="s">
        <v>741</v>
      </c>
      <c r="B99" s="52">
        <v>966596290999</v>
      </c>
      <c r="C99" s="18" t="s">
        <v>742</v>
      </c>
      <c r="D99" s="18"/>
      <c r="E99" s="17" t="s">
        <v>34</v>
      </c>
      <c r="F99" s="14"/>
      <c r="G99" s="14" t="s">
        <v>419</v>
      </c>
      <c r="H99" s="31">
        <v>46230</v>
      </c>
      <c r="I99" s="18"/>
      <c r="J99" s="18"/>
      <c r="K99" s="31"/>
      <c r="L99" s="18"/>
      <c r="M99" s="38" cm="1">
        <f t="array" ref="M99">_xlfn.LET(_xlpm.x,_xlfn.XLOOKUP(Hot_Leads[[#This Row],[Phone]],Dashboard!$M$44:$M$58,Dashboard!$J$44:$J$58,""),IF(_xlpm.x&lt;&gt;"",_xlpm.x,Hot_Leads[[#This Row],[Next Follow Up Notes]]))</f>
        <v>0</v>
      </c>
      <c r="N99" s="331" t="str" cm="1">
        <f t="array" ref="N9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00" spans="1:14" ht="25.5">
      <c r="A100" s="19" t="s">
        <v>743</v>
      </c>
      <c r="B100" s="52">
        <v>966536687616</v>
      </c>
      <c r="C100" s="18" t="s">
        <v>744</v>
      </c>
      <c r="D100" s="18"/>
      <c r="E100" s="17" t="s">
        <v>34</v>
      </c>
      <c r="F100" s="14"/>
      <c r="G100" s="14" t="s">
        <v>520</v>
      </c>
      <c r="H100" s="31">
        <v>46230</v>
      </c>
      <c r="I100" s="18" t="s">
        <v>745</v>
      </c>
      <c r="J100" s="18"/>
      <c r="K100" s="31"/>
      <c r="L100" s="18"/>
      <c r="M100" s="38" cm="1">
        <f t="array" ref="M100">_xlfn.LET(_xlpm.x,_xlfn.XLOOKUP(Hot_Leads[[#This Row],[Phone]],Dashboard!$M$44:$M$58,Dashboard!$J$44:$J$58,""),IF(_xlpm.x&lt;&gt;"",_xlpm.x,Hot_Leads[[#This Row],[Next Follow Up Notes]]))</f>
        <v>0</v>
      </c>
      <c r="N100" s="331" t="str" cm="1">
        <f t="array" ref="N100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01" spans="1:14" ht="30">
      <c r="A101" s="19" t="s">
        <v>746</v>
      </c>
      <c r="B101" s="52">
        <v>966565355742</v>
      </c>
      <c r="C101" s="18" t="s">
        <v>747</v>
      </c>
      <c r="D101" s="18"/>
      <c r="E101" s="17" t="s">
        <v>34</v>
      </c>
      <c r="F101" s="14"/>
      <c r="G101" s="14" t="s">
        <v>426</v>
      </c>
      <c r="H101" s="31">
        <v>46235</v>
      </c>
      <c r="I101" s="18" t="s">
        <v>748</v>
      </c>
      <c r="J101" s="18"/>
      <c r="K101" s="31"/>
      <c r="L101" s="18"/>
      <c r="M101" s="38" cm="1">
        <f t="array" ref="M101">_xlfn.LET(_xlpm.x,_xlfn.XLOOKUP(Hot_Leads[[#This Row],[Phone]],Dashboard!$M$44:$M$58,Dashboard!$J$44:$J$58,""),IF(_xlpm.x&lt;&gt;"",_xlpm.x,Hot_Leads[[#This Row],[Next Follow Up Notes]]))</f>
        <v>0</v>
      </c>
      <c r="N101" s="331" t="str" cm="1">
        <f t="array" ref="N101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02" spans="1:14" ht="25.5">
      <c r="A102" s="19" t="s">
        <v>749</v>
      </c>
      <c r="B102" s="52">
        <v>966531682971</v>
      </c>
      <c r="C102" s="18" t="s">
        <v>750</v>
      </c>
      <c r="D102" s="18"/>
      <c r="E102" s="17" t="s">
        <v>31</v>
      </c>
      <c r="F102" s="14"/>
      <c r="G102" s="14" t="s">
        <v>515</v>
      </c>
      <c r="H102" s="31">
        <v>46235</v>
      </c>
      <c r="I102" s="18" t="s">
        <v>751</v>
      </c>
      <c r="J102" s="18"/>
      <c r="K102" s="31"/>
      <c r="L102" s="18"/>
      <c r="M102" s="38" cm="1">
        <f t="array" ref="M102">_xlfn.LET(_xlpm.x,_xlfn.XLOOKUP(Hot_Leads[[#This Row],[Phone]],Dashboard!$M$44:$M$58,Dashboard!$J$44:$J$58,""),IF(_xlpm.x&lt;&gt;"",_xlpm.x,Hot_Leads[[#This Row],[Next Follow Up Notes]]))</f>
        <v>0</v>
      </c>
      <c r="N102" s="331" t="str" cm="1">
        <f t="array" ref="N102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03" spans="1:14" ht="30">
      <c r="A103" s="19" t="s">
        <v>263</v>
      </c>
      <c r="B103" s="52">
        <v>966500810545</v>
      </c>
      <c r="C103" s="18" t="s">
        <v>752</v>
      </c>
      <c r="D103" s="18"/>
      <c r="E103" s="17" t="s">
        <v>34</v>
      </c>
      <c r="F103" s="14"/>
      <c r="G103" s="14" t="s">
        <v>419</v>
      </c>
      <c r="H103" s="31">
        <v>46236</v>
      </c>
      <c r="I103" s="18" t="s">
        <v>753</v>
      </c>
      <c r="J103" s="18"/>
      <c r="K103" s="31"/>
      <c r="L103" s="18"/>
      <c r="M103" s="38" cm="1">
        <f t="array" ref="M103">_xlfn.LET(_xlpm.x,_xlfn.XLOOKUP(Hot_Leads[[#This Row],[Phone]],Dashboard!$M$44:$M$58,Dashboard!$J$44:$J$58,""),IF(_xlpm.x&lt;&gt;"",_xlpm.x,Hot_Leads[[#This Row],[Next Follow Up Notes]]))</f>
        <v>0</v>
      </c>
      <c r="N103" s="331" t="str" cm="1">
        <f t="array" ref="N10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04" spans="1:14" ht="30">
      <c r="A104" s="19" t="s">
        <v>754</v>
      </c>
      <c r="B104" s="52">
        <v>966562735656</v>
      </c>
      <c r="C104" s="18" t="s">
        <v>755</v>
      </c>
      <c r="D104" s="18"/>
      <c r="E104" s="17" t="s">
        <v>31</v>
      </c>
      <c r="F104" s="14"/>
      <c r="G104" s="14" t="s">
        <v>592</v>
      </c>
      <c r="H104" s="31">
        <v>46237</v>
      </c>
      <c r="I104" s="18" t="s">
        <v>756</v>
      </c>
      <c r="J104" s="18"/>
      <c r="K104" s="31"/>
      <c r="L104" s="18"/>
      <c r="M104" s="38" cm="1">
        <f t="array" ref="M104">_xlfn.LET(_xlpm.x,_xlfn.XLOOKUP(Hot_Leads[[#This Row],[Phone]],Dashboard!$M$44:$M$58,Dashboard!$J$44:$J$58,""),IF(_xlpm.x&lt;&gt;"",_xlpm.x,Hot_Leads[[#This Row],[Next Follow Up Notes]]))</f>
        <v>0</v>
      </c>
      <c r="N104" s="331" t="str" cm="1">
        <f t="array" ref="N10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05" spans="1:14" ht="38.25">
      <c r="A105" s="19" t="s">
        <v>757</v>
      </c>
      <c r="B105" s="52">
        <v>966582348796</v>
      </c>
      <c r="C105" s="18" t="s">
        <v>758</v>
      </c>
      <c r="D105" s="18"/>
      <c r="E105" s="17" t="s">
        <v>34</v>
      </c>
      <c r="F105" s="14"/>
      <c r="G105" s="14" t="s">
        <v>419</v>
      </c>
      <c r="H105" s="31">
        <v>46237</v>
      </c>
      <c r="I105" s="18" t="s">
        <v>759</v>
      </c>
      <c r="J105" s="18"/>
      <c r="K105" s="31"/>
      <c r="L105" s="18"/>
      <c r="M105" s="38" cm="1">
        <f t="array" ref="M105">_xlfn.LET(_xlpm.x,_xlfn.XLOOKUP(Hot_Leads[[#This Row],[Phone]],Dashboard!$M$44:$M$58,Dashboard!$J$44:$J$58,""),IF(_xlpm.x&lt;&gt;"",_xlpm.x,Hot_Leads[[#This Row],[Next Follow Up Notes]]))</f>
        <v>0</v>
      </c>
      <c r="N105" s="331" t="str" cm="1">
        <f t="array" ref="N10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06" spans="1:14" ht="30">
      <c r="A106" s="19" t="s">
        <v>760</v>
      </c>
      <c r="B106" s="52">
        <v>966508424859</v>
      </c>
      <c r="C106" s="18" t="s">
        <v>761</v>
      </c>
      <c r="D106" s="18"/>
      <c r="E106" s="17" t="s">
        <v>34</v>
      </c>
      <c r="F106" s="14"/>
      <c r="G106" s="14" t="s">
        <v>419</v>
      </c>
      <c r="H106" s="31">
        <v>46237</v>
      </c>
      <c r="I106" s="18" t="s">
        <v>762</v>
      </c>
      <c r="J106" s="18"/>
      <c r="K106" s="31"/>
      <c r="L106" s="18"/>
      <c r="M106" s="38" cm="1">
        <f t="array" ref="M106">_xlfn.LET(_xlpm.x,_xlfn.XLOOKUP(Hot_Leads[[#This Row],[Phone]],Dashboard!$M$44:$M$58,Dashboard!$J$44:$J$58,""),IF(_xlpm.x&lt;&gt;"",_xlpm.x,Hot_Leads[[#This Row],[Next Follow Up Notes]]))</f>
        <v>0</v>
      </c>
      <c r="N106" s="331" t="str" cm="1">
        <f t="array" ref="N106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07" spans="1:14" ht="51">
      <c r="A107" s="19" t="s">
        <v>763</v>
      </c>
      <c r="B107" s="52">
        <v>966507418002</v>
      </c>
      <c r="C107" s="18" t="s">
        <v>707</v>
      </c>
      <c r="D107" s="18"/>
      <c r="E107" s="17" t="s">
        <v>31</v>
      </c>
      <c r="F107" s="14"/>
      <c r="G107" s="14" t="s">
        <v>515</v>
      </c>
      <c r="H107" s="31">
        <v>46238</v>
      </c>
      <c r="I107" s="18" t="s">
        <v>764</v>
      </c>
      <c r="J107" s="18"/>
      <c r="K107" s="31"/>
      <c r="L107" s="18"/>
      <c r="M107" s="38" cm="1">
        <f t="array" ref="M107">_xlfn.LET(_xlpm.x,_xlfn.XLOOKUP(Hot_Leads[[#This Row],[Phone]],Dashboard!$M$44:$M$58,Dashboard!$J$44:$J$58,""),IF(_xlpm.x&lt;&gt;"",_xlpm.x,Hot_Leads[[#This Row],[Next Follow Up Notes]]))</f>
        <v>0</v>
      </c>
      <c r="N107" s="331" t="str" cm="1">
        <f t="array" ref="N107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08" spans="1:14" ht="51">
      <c r="A108" s="19" t="s">
        <v>765</v>
      </c>
      <c r="B108" s="52">
        <v>966539066607</v>
      </c>
      <c r="C108" s="18" t="s">
        <v>766</v>
      </c>
      <c r="D108" s="18"/>
      <c r="E108" s="17" t="s">
        <v>31</v>
      </c>
      <c r="F108" s="14"/>
      <c r="G108" s="14" t="s">
        <v>474</v>
      </c>
      <c r="H108" s="31">
        <v>46238</v>
      </c>
      <c r="I108" s="18" t="s">
        <v>767</v>
      </c>
      <c r="J108" s="18"/>
      <c r="K108" s="31"/>
      <c r="L108" s="18"/>
      <c r="M108" s="38" cm="1">
        <f t="array" ref="M108">_xlfn.LET(_xlpm.x,_xlfn.XLOOKUP(Hot_Leads[[#This Row],[Phone]],Dashboard!$M$44:$M$58,Dashboard!$J$44:$J$58,""),IF(_xlpm.x&lt;&gt;"",_xlpm.x,Hot_Leads[[#This Row],[Next Follow Up Notes]]))</f>
        <v>0</v>
      </c>
      <c r="N108" s="331" t="str" cm="1">
        <f t="array" ref="N108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09" spans="1:14" ht="51">
      <c r="A109" s="19" t="s">
        <v>768</v>
      </c>
      <c r="B109" s="52">
        <v>966563126660</v>
      </c>
      <c r="C109" s="18" t="s">
        <v>769</v>
      </c>
      <c r="D109" s="18"/>
      <c r="E109" s="17" t="s">
        <v>31</v>
      </c>
      <c r="F109" s="14"/>
      <c r="G109" s="14" t="s">
        <v>474</v>
      </c>
      <c r="H109" s="31">
        <v>46238</v>
      </c>
      <c r="I109" s="18" t="s">
        <v>770</v>
      </c>
      <c r="J109" s="18"/>
      <c r="K109" s="31"/>
      <c r="L109" s="18"/>
      <c r="M109" s="38" cm="1">
        <f t="array" ref="M109">_xlfn.LET(_xlpm.x,_xlfn.XLOOKUP(Hot_Leads[[#This Row],[Phone]],Dashboard!$M$44:$M$58,Dashboard!$J$44:$J$58,""),IF(_xlpm.x&lt;&gt;"",_xlpm.x,Hot_Leads[[#This Row],[Next Follow Up Notes]]))</f>
        <v>0</v>
      </c>
      <c r="N109" s="331" t="str" cm="1">
        <f t="array" ref="N10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10" spans="1:14" ht="30">
      <c r="A110" s="19" t="s">
        <v>771</v>
      </c>
      <c r="B110" s="52">
        <v>966506215480</v>
      </c>
      <c r="C110" s="18" t="s">
        <v>772</v>
      </c>
      <c r="D110" s="18"/>
      <c r="E110" s="17" t="s">
        <v>31</v>
      </c>
      <c r="F110" s="14"/>
      <c r="G110" s="14" t="s">
        <v>426</v>
      </c>
      <c r="H110" s="31">
        <v>46244</v>
      </c>
      <c r="I110" s="18" t="s">
        <v>773</v>
      </c>
      <c r="J110" s="18"/>
      <c r="K110" s="31"/>
      <c r="L110" s="18"/>
      <c r="M110" s="38" cm="1">
        <f t="array" ref="M110">_xlfn.LET(_xlpm.x,_xlfn.XLOOKUP(Hot_Leads[[#This Row],[Phone]],Dashboard!$M$44:$M$58,Dashboard!$J$44:$J$58,""),IF(_xlpm.x&lt;&gt;"",_xlpm.x,Hot_Leads[[#This Row],[Next Follow Up Notes]]))</f>
        <v>0</v>
      </c>
      <c r="N110" s="331" t="str" cm="1">
        <f t="array" ref="N110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11" spans="1:14" ht="38.25">
      <c r="A111" s="19" t="s">
        <v>774</v>
      </c>
      <c r="B111" s="52">
        <v>966599818909</v>
      </c>
      <c r="C111" s="18" t="s">
        <v>775</v>
      </c>
      <c r="D111" s="18"/>
      <c r="E111" s="17" t="s">
        <v>34</v>
      </c>
      <c r="F111" s="14"/>
      <c r="G111" s="14" t="s">
        <v>776</v>
      </c>
      <c r="H111" s="31">
        <v>46242</v>
      </c>
      <c r="I111" s="18" t="s">
        <v>777</v>
      </c>
      <c r="J111" s="18"/>
      <c r="K111" s="31"/>
      <c r="L111" s="18"/>
      <c r="M111" s="38" cm="1">
        <f t="array" ref="M111">_xlfn.LET(_xlpm.x,_xlfn.XLOOKUP(Hot_Leads[[#This Row],[Phone]],Dashboard!$M$44:$M$58,Dashboard!$J$44:$J$58,""),IF(_xlpm.x&lt;&gt;"",_xlpm.x,Hot_Leads[[#This Row],[Next Follow Up Notes]]))</f>
        <v>0</v>
      </c>
      <c r="N111" s="331" t="str" cm="1">
        <f t="array" ref="N111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12" spans="1:14" ht="51">
      <c r="A112" s="19" t="s">
        <v>778</v>
      </c>
      <c r="B112" s="52">
        <v>966566470210</v>
      </c>
      <c r="C112" s="18" t="s">
        <v>779</v>
      </c>
      <c r="D112" s="18"/>
      <c r="E112" s="17" t="s">
        <v>31</v>
      </c>
      <c r="F112" s="14"/>
      <c r="G112" s="14" t="s">
        <v>515</v>
      </c>
      <c r="H112" s="31">
        <v>46242</v>
      </c>
      <c r="I112" s="18" t="s">
        <v>780</v>
      </c>
      <c r="J112" s="18"/>
      <c r="K112" s="31"/>
      <c r="L112" s="18"/>
      <c r="M112" s="38" cm="1">
        <f t="array" ref="M112">_xlfn.LET(_xlpm.x,_xlfn.XLOOKUP(Hot_Leads[[#This Row],[Phone]],Dashboard!$M$44:$M$58,Dashboard!$J$44:$J$58,""),IF(_xlpm.x&lt;&gt;"",_xlpm.x,Hot_Leads[[#This Row],[Next Follow Up Notes]]))</f>
        <v>0</v>
      </c>
      <c r="N112" s="331" t="str" cm="1">
        <f t="array" ref="N112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13" spans="1:14" ht="25.5">
      <c r="A113" s="19" t="s">
        <v>781</v>
      </c>
      <c r="B113" s="52">
        <v>966555806250</v>
      </c>
      <c r="C113" s="18" t="s">
        <v>782</v>
      </c>
      <c r="D113" s="18"/>
      <c r="E113" s="17" t="s">
        <v>34</v>
      </c>
      <c r="F113" s="14"/>
      <c r="G113" s="14" t="s">
        <v>520</v>
      </c>
      <c r="H113" s="31">
        <v>46242</v>
      </c>
      <c r="I113" s="18" t="s">
        <v>783</v>
      </c>
      <c r="J113" s="18"/>
      <c r="K113" s="31"/>
      <c r="L113" s="18"/>
      <c r="M113" s="38" cm="1">
        <f t="array" ref="M113">_xlfn.LET(_xlpm.x,_xlfn.XLOOKUP(Hot_Leads[[#This Row],[Phone]],Dashboard!$M$44:$M$58,Dashboard!$J$44:$J$58,""),IF(_xlpm.x&lt;&gt;"",_xlpm.x,Hot_Leads[[#This Row],[Next Follow Up Notes]]))</f>
        <v>0</v>
      </c>
      <c r="N113" s="331" t="str" cm="1">
        <f t="array" ref="N11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14" spans="1:14" ht="38.25">
      <c r="A114" s="19" t="s">
        <v>784</v>
      </c>
      <c r="B114" s="52">
        <v>966530213450</v>
      </c>
      <c r="C114" s="18" t="s">
        <v>785</v>
      </c>
      <c r="D114" s="18"/>
      <c r="E114" s="17" t="s">
        <v>31</v>
      </c>
      <c r="F114" s="14"/>
      <c r="G114" s="14" t="s">
        <v>515</v>
      </c>
      <c r="H114" s="31">
        <v>46243</v>
      </c>
      <c r="I114" s="18" t="s">
        <v>786</v>
      </c>
      <c r="J114" s="18"/>
      <c r="K114" s="31"/>
      <c r="L114" s="18"/>
      <c r="M114" s="38" cm="1">
        <f t="array" ref="M114">_xlfn.LET(_xlpm.x,_xlfn.XLOOKUP(Hot_Leads[[#This Row],[Phone]],Dashboard!$M$44:$M$58,Dashboard!$J$44:$J$58,""),IF(_xlpm.x&lt;&gt;"",_xlpm.x,Hot_Leads[[#This Row],[Next Follow Up Notes]]))</f>
        <v>0</v>
      </c>
      <c r="N114" s="331"/>
    </row>
    <row r="115" spans="1:14" ht="51">
      <c r="A115" s="19" t="s">
        <v>267</v>
      </c>
      <c r="B115" s="52">
        <v>966537964254</v>
      </c>
      <c r="C115" s="18" t="s">
        <v>787</v>
      </c>
      <c r="D115" s="18"/>
      <c r="E115" s="17" t="s">
        <v>31</v>
      </c>
      <c r="F115" s="14"/>
      <c r="G115" s="14" t="s">
        <v>426</v>
      </c>
      <c r="H115" s="31">
        <v>46243</v>
      </c>
      <c r="I115" s="18" t="s">
        <v>788</v>
      </c>
      <c r="J115" s="18"/>
      <c r="K115" s="31"/>
      <c r="L115" s="18"/>
      <c r="M115" s="38" cm="1">
        <f t="array" ref="M115">_xlfn.LET(_xlpm.x,_xlfn.XLOOKUP(Hot_Leads[[#This Row],[Phone]],Dashboard!$M$44:$M$58,Dashboard!$J$44:$J$58,""),IF(_xlpm.x&lt;&gt;"",_xlpm.x,Hot_Leads[[#This Row],[Next Follow Up Notes]]))</f>
        <v>0</v>
      </c>
      <c r="N115" s="331" t="str" cm="1">
        <f t="array" ref="N11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16" spans="1:14" ht="38.25">
      <c r="A116" s="19" t="s">
        <v>789</v>
      </c>
      <c r="B116" s="52">
        <v>966569992501</v>
      </c>
      <c r="C116" s="18" t="s">
        <v>790</v>
      </c>
      <c r="D116" s="18"/>
      <c r="E116" s="17" t="s">
        <v>31</v>
      </c>
      <c r="F116" s="14"/>
      <c r="G116" s="14" t="s">
        <v>474</v>
      </c>
      <c r="H116" s="31">
        <v>46243</v>
      </c>
      <c r="I116" s="18" t="s">
        <v>791</v>
      </c>
      <c r="J116" s="18"/>
      <c r="K116" s="31"/>
      <c r="L116" s="18"/>
      <c r="M116" s="38" cm="1">
        <f t="array" ref="M116">_xlfn.LET(_xlpm.x,_xlfn.XLOOKUP(Hot_Leads[[#This Row],[Phone]],Dashboard!$M$44:$M$58,Dashboard!$J$44:$J$58,""),IF(_xlpm.x&lt;&gt;"",_xlpm.x,Hot_Leads[[#This Row],[Next Follow Up Notes]]))</f>
        <v>0</v>
      </c>
      <c r="N116" s="331" t="str" cm="1">
        <f t="array" ref="N116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17" spans="1:14" ht="25.5">
      <c r="A117" s="19" t="s">
        <v>792</v>
      </c>
      <c r="B117" s="52">
        <v>966556860997</v>
      </c>
      <c r="C117" s="18" t="s">
        <v>793</v>
      </c>
      <c r="D117" s="18"/>
      <c r="E117" s="17" t="s">
        <v>31</v>
      </c>
      <c r="F117" s="14"/>
      <c r="G117" s="14" t="s">
        <v>510</v>
      </c>
      <c r="H117" s="31">
        <v>46243</v>
      </c>
      <c r="I117" s="18" t="s">
        <v>794</v>
      </c>
      <c r="J117" s="18"/>
      <c r="K117" s="31"/>
      <c r="L117" s="18"/>
      <c r="M117" s="38" cm="1">
        <f t="array" ref="M117">_xlfn.LET(_xlpm.x,_xlfn.XLOOKUP(Hot_Leads[[#This Row],[Phone]],Dashboard!$M$44:$M$58,Dashboard!$J$44:$J$58,""),IF(_xlpm.x&lt;&gt;"",_xlpm.x,Hot_Leads[[#This Row],[Next Follow Up Notes]]))</f>
        <v>0</v>
      </c>
      <c r="N117" s="331" t="str" cm="1">
        <f t="array" ref="N117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18" spans="1:14" ht="51">
      <c r="A118" s="19" t="s">
        <v>795</v>
      </c>
      <c r="B118" s="52">
        <v>966582385810</v>
      </c>
      <c r="C118" s="18" t="s">
        <v>796</v>
      </c>
      <c r="D118" s="18"/>
      <c r="E118" s="17" t="s">
        <v>34</v>
      </c>
      <c r="F118" s="14"/>
      <c r="G118" s="14" t="s">
        <v>515</v>
      </c>
      <c r="H118" s="31">
        <v>46244</v>
      </c>
      <c r="I118" s="18" t="s">
        <v>797</v>
      </c>
      <c r="J118" s="18"/>
      <c r="K118" s="31"/>
      <c r="L118" s="18"/>
      <c r="M118" s="38" cm="1">
        <f t="array" ref="M118">_xlfn.LET(_xlpm.x,_xlfn.XLOOKUP(Hot_Leads[[#This Row],[Phone]],Dashboard!$M$44:$M$58,Dashboard!$J$44:$J$58,""),IF(_xlpm.x&lt;&gt;"",_xlpm.x,Hot_Leads[[#This Row],[Next Follow Up Notes]]))</f>
        <v>0</v>
      </c>
      <c r="N118" s="331" t="str" cm="1">
        <f t="array" ref="N118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19" spans="1:14" ht="63.75">
      <c r="A119" s="19" t="s">
        <v>798</v>
      </c>
      <c r="B119" s="52">
        <v>966559643060</v>
      </c>
      <c r="C119" s="18" t="s">
        <v>798</v>
      </c>
      <c r="D119" s="18"/>
      <c r="E119" s="17" t="s">
        <v>31</v>
      </c>
      <c r="F119" s="14"/>
      <c r="G119" s="14" t="s">
        <v>515</v>
      </c>
      <c r="H119" s="31">
        <v>46245</v>
      </c>
      <c r="I119" s="18" t="s">
        <v>799</v>
      </c>
      <c r="J119" s="18"/>
      <c r="K119" s="31"/>
      <c r="L119" s="18"/>
      <c r="M119" s="38" cm="1">
        <f t="array" ref="M119">_xlfn.LET(_xlpm.x,_xlfn.XLOOKUP(Hot_Leads[[#This Row],[Phone]],Dashboard!$M$44:$M$58,Dashboard!$J$44:$J$58,""),IF(_xlpm.x&lt;&gt;"",_xlpm.x,Hot_Leads[[#This Row],[Next Follow Up Notes]]))</f>
        <v>0</v>
      </c>
      <c r="N119" s="331" t="str" cm="1">
        <f t="array" ref="N119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20" spans="1:14" ht="15">
      <c r="A120" s="19" t="s">
        <v>800</v>
      </c>
      <c r="B120" s="52">
        <v>966549888803</v>
      </c>
      <c r="C120" s="18" t="s">
        <v>801</v>
      </c>
      <c r="D120" s="18"/>
      <c r="E120" s="17" t="s">
        <v>31</v>
      </c>
      <c r="F120" s="14"/>
      <c r="G120" s="14" t="s">
        <v>515</v>
      </c>
      <c r="H120" s="31">
        <v>46245</v>
      </c>
      <c r="I120" s="18"/>
      <c r="J120" s="18"/>
      <c r="K120" s="31"/>
      <c r="L120" s="18"/>
      <c r="M120" s="38" cm="1">
        <f t="array" ref="M120">_xlfn.LET(_xlpm.x,_xlfn.XLOOKUP(Hot_Leads[[#This Row],[Phone]],Dashboard!$M$44:$M$58,Dashboard!$J$44:$J$58,""),IF(_xlpm.x&lt;&gt;"",_xlpm.x,Hot_Leads[[#This Row],[Next Follow Up Notes]]))</f>
        <v>0</v>
      </c>
      <c r="N120" s="331" t="str" cm="1">
        <f t="array" ref="N120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21" spans="1:14" ht="15">
      <c r="A121" s="19" t="s">
        <v>802</v>
      </c>
      <c r="B121" s="52">
        <v>966549888807</v>
      </c>
      <c r="C121" s="18" t="s">
        <v>801</v>
      </c>
      <c r="D121" s="18"/>
      <c r="E121" s="17" t="s">
        <v>31</v>
      </c>
      <c r="F121" s="14"/>
      <c r="G121" s="14" t="s">
        <v>515</v>
      </c>
      <c r="H121" s="31"/>
      <c r="I121" s="18"/>
      <c r="J121" s="18"/>
      <c r="K121" s="31"/>
      <c r="L121" s="18"/>
      <c r="M121" s="38" cm="1">
        <f t="array" ref="M121">_xlfn.LET(_xlpm.x,_xlfn.XLOOKUP(Hot_Leads[[#This Row],[Phone]],Dashboard!$M$44:$M$58,Dashboard!$J$44:$J$58,""),IF(_xlpm.x&lt;&gt;"",_xlpm.x,Hot_Leads[[#This Row],[Next Follow Up Notes]]))</f>
        <v>0</v>
      </c>
      <c r="N121" s="331"/>
    </row>
    <row r="122" spans="1:14" ht="38.25">
      <c r="A122" s="19" t="s">
        <v>803</v>
      </c>
      <c r="B122" s="52">
        <v>966593681485</v>
      </c>
      <c r="C122" s="18" t="s">
        <v>804</v>
      </c>
      <c r="D122" s="18"/>
      <c r="E122" s="17" t="s">
        <v>31</v>
      </c>
      <c r="F122" s="14"/>
      <c r="G122" s="14" t="s">
        <v>805</v>
      </c>
      <c r="H122" s="31">
        <v>46245</v>
      </c>
      <c r="I122" s="18" t="s">
        <v>806</v>
      </c>
      <c r="J122" s="18"/>
      <c r="K122" s="31"/>
      <c r="L122" s="18"/>
      <c r="M122" s="38" cm="1">
        <f t="array" ref="M122">_xlfn.LET(_xlpm.x,_xlfn.XLOOKUP(Hot_Leads[[#This Row],[Phone]],Dashboard!$M$44:$M$58,Dashboard!$J$44:$J$58,""),IF(_xlpm.x&lt;&gt;"",_xlpm.x,Hot_Leads[[#This Row],[Next Follow Up Notes]]))</f>
        <v>0</v>
      </c>
      <c r="N122" s="331"/>
    </row>
    <row r="123" spans="1:14" ht="59.25" customHeight="1">
      <c r="A123" s="19" t="s">
        <v>807</v>
      </c>
      <c r="B123" s="52">
        <v>966549399745</v>
      </c>
      <c r="C123" s="18" t="s">
        <v>808</v>
      </c>
      <c r="D123" s="18"/>
      <c r="E123" s="17" t="s">
        <v>34</v>
      </c>
      <c r="F123" s="14"/>
      <c r="G123" s="14" t="s">
        <v>474</v>
      </c>
      <c r="H123" s="31">
        <v>46252</v>
      </c>
      <c r="I123" s="18" t="s">
        <v>809</v>
      </c>
      <c r="J123" s="18"/>
      <c r="K123" s="31"/>
      <c r="L123" s="18"/>
      <c r="M123" s="38" cm="1">
        <f t="array" ref="M123">_xlfn.LET(_xlpm.x,_xlfn.XLOOKUP(Hot_Leads[[#This Row],[Phone]],Dashboard!$M$44:$M$58,Dashboard!$J$44:$J$58,""),IF(_xlpm.x&lt;&gt;"",_xlpm.x,Hot_Leads[[#This Row],[Next Follow Up Notes]]))</f>
        <v>0</v>
      </c>
      <c r="N123" s="331"/>
    </row>
    <row r="124" spans="1:14" ht="38.25">
      <c r="A124" s="19" t="s">
        <v>810</v>
      </c>
      <c r="B124" s="52">
        <v>966555001954</v>
      </c>
      <c r="C124" s="18" t="s">
        <v>811</v>
      </c>
      <c r="D124" s="18"/>
      <c r="E124" s="17" t="s">
        <v>31</v>
      </c>
      <c r="F124" s="14"/>
      <c r="G124" s="14" t="s">
        <v>812</v>
      </c>
      <c r="H124" s="31">
        <v>46252</v>
      </c>
      <c r="I124" s="18" t="s">
        <v>813</v>
      </c>
      <c r="J124" s="18"/>
      <c r="K124" s="31"/>
      <c r="L124" s="18"/>
      <c r="M124" s="38" cm="1">
        <f t="array" ref="M124">_xlfn.LET(_xlpm.x,_xlfn.XLOOKUP(Hot_Leads[[#This Row],[Phone]],Dashboard!$M$44:$M$58,Dashboard!$J$44:$J$58,""),IF(_xlpm.x&lt;&gt;"",_xlpm.x,Hot_Leads[[#This Row],[Next Follow Up Notes]]))</f>
        <v>0</v>
      </c>
      <c r="N124" s="331"/>
    </row>
    <row r="125" spans="1:14" ht="30">
      <c r="A125" s="19" t="s">
        <v>814</v>
      </c>
      <c r="B125" s="52">
        <v>966566185094</v>
      </c>
      <c r="C125" s="18" t="s">
        <v>815</v>
      </c>
      <c r="D125" s="18"/>
      <c r="E125" s="17" t="s">
        <v>34</v>
      </c>
      <c r="F125" s="14"/>
      <c r="G125" s="14" t="s">
        <v>816</v>
      </c>
      <c r="H125" s="31">
        <v>46252</v>
      </c>
      <c r="I125" s="18" t="s">
        <v>817</v>
      </c>
      <c r="J125" s="18"/>
      <c r="K125" s="31"/>
      <c r="L125" s="18"/>
      <c r="M125" s="38" cm="1">
        <f t="array" ref="M125">_xlfn.LET(_xlpm.x,_xlfn.XLOOKUP(Hot_Leads[[#This Row],[Phone]],Dashboard!$M$44:$M$58,Dashboard!$J$44:$J$58,""),IF(_xlpm.x&lt;&gt;"",_xlpm.x,Hot_Leads[[#This Row],[Next Follow Up Notes]]))</f>
        <v>0</v>
      </c>
      <c r="N125" s="331"/>
    </row>
    <row r="126" spans="1:14" ht="60" customHeight="1">
      <c r="A126" s="19" t="s">
        <v>818</v>
      </c>
      <c r="B126" s="52">
        <v>966548220534</v>
      </c>
      <c r="C126" s="18" t="s">
        <v>819</v>
      </c>
      <c r="D126" s="18"/>
      <c r="E126" s="17" t="s">
        <v>34</v>
      </c>
      <c r="F126" s="14"/>
      <c r="G126" s="14" t="s">
        <v>426</v>
      </c>
      <c r="H126" s="31">
        <v>46251</v>
      </c>
      <c r="I126" s="18" t="s">
        <v>820</v>
      </c>
      <c r="J126" s="18"/>
      <c r="K126" s="31"/>
      <c r="L126" s="18"/>
      <c r="M126" s="38" cm="1">
        <f t="array" ref="M126">_xlfn.LET(_xlpm.x,_xlfn.XLOOKUP(Hot_Leads[[#This Row],[Phone]],Dashboard!$M$44:$M$58,Dashboard!$J$44:$J$58,""),IF(_xlpm.x&lt;&gt;"",_xlpm.x,Hot_Leads[[#This Row],[Next Follow Up Notes]]))</f>
        <v>0</v>
      </c>
      <c r="N126" s="331"/>
    </row>
    <row r="127" spans="1:14" ht="38.25">
      <c r="A127" s="344" t="s">
        <v>821</v>
      </c>
      <c r="B127" s="52">
        <v>966539763480</v>
      </c>
      <c r="C127" s="18" t="s">
        <v>822</v>
      </c>
      <c r="D127" s="18"/>
      <c r="E127" s="17" t="s">
        <v>40</v>
      </c>
      <c r="F127" s="14"/>
      <c r="G127" s="14" t="s">
        <v>515</v>
      </c>
      <c r="H127" s="31">
        <v>46253</v>
      </c>
      <c r="I127" s="8" t="s">
        <v>823</v>
      </c>
      <c r="J127" s="18"/>
      <c r="K127" s="31"/>
      <c r="L127" s="18"/>
      <c r="M127" s="38" cm="1">
        <f t="array" ref="M127">_xlfn.LET(_xlpm.x,_xlfn.XLOOKUP(Hot_Leads[[#This Row],[Phone]],Dashboard!$M$44:$M$58,Dashboard!$J$44:$J$58,""),IF(_xlpm.x&lt;&gt;"",_xlpm.x,Hot_Leads[[#This Row],[Next Follow Up Notes]]))</f>
        <v>0</v>
      </c>
      <c r="N127" s="331"/>
    </row>
    <row r="128" spans="1:14" ht="25.5">
      <c r="A128" s="19" t="s">
        <v>824</v>
      </c>
      <c r="B128" s="52">
        <v>966555917174</v>
      </c>
      <c r="C128" s="18" t="s">
        <v>825</v>
      </c>
      <c r="D128" s="18"/>
      <c r="E128" s="17" t="s">
        <v>31</v>
      </c>
      <c r="F128" s="14"/>
      <c r="G128" s="14" t="s">
        <v>515</v>
      </c>
      <c r="H128" s="31">
        <v>46256</v>
      </c>
      <c r="I128" s="18" t="s">
        <v>826</v>
      </c>
      <c r="J128" s="18"/>
      <c r="K128" s="31"/>
      <c r="L128" s="18"/>
      <c r="M128" s="38" cm="1">
        <f t="array" ref="M128">_xlfn.LET(_xlpm.x,_xlfn.XLOOKUP(Hot_Leads[[#This Row],[Phone]],Dashboard!$M$44:$M$58,Dashboard!$J$44:$J$58,""),IF(_xlpm.x&lt;&gt;"",_xlpm.x,Hot_Leads[[#This Row],[Next Follow Up Notes]]))</f>
        <v>0</v>
      </c>
      <c r="N128" s="331"/>
    </row>
    <row r="129" spans="1:14" ht="25.5">
      <c r="A129" s="278" t="s">
        <v>827</v>
      </c>
      <c r="B129" s="52">
        <v>966541998084</v>
      </c>
      <c r="C129" s="308" t="s">
        <v>828</v>
      </c>
      <c r="D129" s="18"/>
      <c r="E129" s="17" t="s">
        <v>34</v>
      </c>
      <c r="F129" s="14"/>
      <c r="G129" s="14"/>
      <c r="H129" s="31">
        <v>46257</v>
      </c>
      <c r="I129" s="18" t="s">
        <v>829</v>
      </c>
      <c r="J129" s="18"/>
      <c r="K129" s="31"/>
      <c r="L129" s="18"/>
      <c r="M129" s="38" cm="1">
        <f t="array" ref="M129">_xlfn.LET(_xlpm.x,_xlfn.XLOOKUP(Hot_Leads[[#This Row],[Phone]],Dashboard!$M$44:$M$58,Dashboard!$J$44:$J$58,""),IF(_xlpm.x&lt;&gt;"",_xlpm.x,Hot_Leads[[#This Row],[Next Follow Up Notes]]))</f>
        <v>0</v>
      </c>
      <c r="N129" s="331"/>
    </row>
    <row r="130" spans="1:14" ht="38.25">
      <c r="A130" s="19" t="s">
        <v>830</v>
      </c>
      <c r="B130" s="52">
        <v>966501198042</v>
      </c>
      <c r="C130" s="19" t="s">
        <v>830</v>
      </c>
      <c r="D130" s="18"/>
      <c r="E130" s="17" t="s">
        <v>31</v>
      </c>
      <c r="F130" s="14"/>
      <c r="G130" s="14" t="s">
        <v>515</v>
      </c>
      <c r="H130" s="31">
        <v>46258</v>
      </c>
      <c r="I130" s="18" t="s">
        <v>831</v>
      </c>
      <c r="J130" s="18"/>
      <c r="K130" s="31"/>
      <c r="L130" s="18"/>
      <c r="M130" s="38" cm="1">
        <f t="array" ref="M130">_xlfn.LET(_xlpm.x,_xlfn.XLOOKUP(Hot_Leads[[#This Row],[Phone]],Dashboard!$M$44:$M$58,Dashboard!$J$44:$J$58,""),IF(_xlpm.x&lt;&gt;"",_xlpm.x,Hot_Leads[[#This Row],[Next Follow Up Notes]]))</f>
        <v>0</v>
      </c>
      <c r="N130" s="331"/>
    </row>
    <row r="131" spans="1:14" ht="38.25">
      <c r="A131" s="19" t="s">
        <v>285</v>
      </c>
      <c r="B131" s="52">
        <v>966503355231</v>
      </c>
      <c r="C131" s="18" t="s">
        <v>832</v>
      </c>
      <c r="D131" s="18"/>
      <c r="E131" s="17" t="s">
        <v>31</v>
      </c>
      <c r="F131" s="14"/>
      <c r="G131" s="14" t="s">
        <v>510</v>
      </c>
      <c r="H131" s="31">
        <v>46260</v>
      </c>
      <c r="I131" s="18" t="s">
        <v>833</v>
      </c>
      <c r="J131" s="18"/>
      <c r="K131" s="31"/>
      <c r="L131" s="18"/>
      <c r="M131" s="38" cm="1">
        <f t="array" ref="M131">_xlfn.LET(_xlpm.x,_xlfn.XLOOKUP(Hot_Leads[[#This Row],[Phone]],Dashboard!$M$44:$M$58,Dashboard!$J$44:$J$58,""),IF(_xlpm.x&lt;&gt;"",_xlpm.x,Hot_Leads[[#This Row],[Next Follow Up Notes]]))</f>
        <v>0</v>
      </c>
      <c r="N131" s="331"/>
    </row>
    <row r="132" spans="1:14" ht="45">
      <c r="A132" s="19" t="s">
        <v>281</v>
      </c>
      <c r="B132" s="52">
        <v>966595291415</v>
      </c>
      <c r="C132" s="18" t="s">
        <v>834</v>
      </c>
      <c r="D132" s="18"/>
      <c r="E132" s="17" t="s">
        <v>31</v>
      </c>
      <c r="F132" s="14"/>
      <c r="G132" s="14" t="s">
        <v>835</v>
      </c>
      <c r="H132" s="31">
        <v>46254</v>
      </c>
      <c r="I132" s="18" t="s">
        <v>836</v>
      </c>
      <c r="J132" s="18"/>
      <c r="K132" s="31"/>
      <c r="L132" s="18"/>
      <c r="M132" s="38" cm="1">
        <f t="array" ref="M132">_xlfn.LET(_xlpm.x,_xlfn.XLOOKUP(Hot_Leads[[#This Row],[Phone]],Dashboard!$M$44:$M$58,Dashboard!$J$44:$J$58,""),IF(_xlpm.x&lt;&gt;"",_xlpm.x,Hot_Leads[[#This Row],[Next Follow Up Notes]]))</f>
        <v>0</v>
      </c>
      <c r="N132" s="331"/>
    </row>
    <row r="133" spans="1:14" ht="45">
      <c r="A133" s="19" t="s">
        <v>837</v>
      </c>
      <c r="B133" s="52">
        <v>966546266151</v>
      </c>
      <c r="C133" s="18" t="s">
        <v>838</v>
      </c>
      <c r="D133" s="18"/>
      <c r="E133" s="17" t="s">
        <v>31</v>
      </c>
      <c r="F133" s="14"/>
      <c r="G133" s="14" t="s">
        <v>839</v>
      </c>
      <c r="H133" s="31">
        <v>46263</v>
      </c>
      <c r="I133" s="18" t="s">
        <v>840</v>
      </c>
      <c r="J133" s="18"/>
      <c r="K133" s="31"/>
      <c r="L133" s="18"/>
      <c r="M133" s="38" cm="1">
        <f t="array" ref="M133">_xlfn.LET(_xlpm.x,_xlfn.XLOOKUP(Hot_Leads[[#This Row],[Phone]],Dashboard!$M$44:$M$58,Dashboard!$J$44:$J$58,""),IF(_xlpm.x&lt;&gt;"",_xlpm.x,Hot_Leads[[#This Row],[Next Follow Up Notes]]))</f>
        <v>0</v>
      </c>
      <c r="N133" s="331"/>
    </row>
    <row r="134" spans="1:14" ht="38.25">
      <c r="A134" s="19" t="s">
        <v>841</v>
      </c>
      <c r="B134" s="52">
        <v>966591983686</v>
      </c>
      <c r="C134" s="18" t="s">
        <v>842</v>
      </c>
      <c r="D134" s="18"/>
      <c r="E134" s="17"/>
      <c r="F134" s="47" t="s">
        <v>843</v>
      </c>
      <c r="G134" s="14" t="s">
        <v>844</v>
      </c>
      <c r="H134" s="31">
        <v>46261</v>
      </c>
      <c r="I134" s="18" t="s">
        <v>845</v>
      </c>
      <c r="J134" s="18"/>
      <c r="K134" s="31"/>
      <c r="L134" s="18"/>
      <c r="M134" s="38" cm="1">
        <f t="array" ref="M134">_xlfn.LET(_xlpm.x,_xlfn.XLOOKUP(Hot_Leads[[#This Row],[Phone]],Dashboard!$M$44:$M$58,Dashboard!$J$44:$J$58,""),IF(_xlpm.x&lt;&gt;"",_xlpm.x,Hot_Leads[[#This Row],[Next Follow Up Notes]]))</f>
        <v>0</v>
      </c>
      <c r="N134" s="331"/>
    </row>
    <row r="135" spans="1:14" ht="89.25">
      <c r="A135" s="19" t="s">
        <v>846</v>
      </c>
      <c r="B135" s="52">
        <v>966504135354</v>
      </c>
      <c r="C135" s="18" t="s">
        <v>847</v>
      </c>
      <c r="D135" s="18"/>
      <c r="E135" s="17" t="s">
        <v>31</v>
      </c>
      <c r="F135" s="14"/>
      <c r="G135" s="14" t="s">
        <v>848</v>
      </c>
      <c r="H135" s="31">
        <v>46261</v>
      </c>
      <c r="I135" s="18" t="s">
        <v>849</v>
      </c>
      <c r="J135" s="18"/>
      <c r="K135" s="31"/>
      <c r="L135" s="18"/>
      <c r="M135" s="38" cm="1">
        <f t="array" ref="M135">_xlfn.LET(_xlpm.x,_xlfn.XLOOKUP(Hot_Leads[[#This Row],[Phone]],Dashboard!$M$44:$M$58,Dashboard!$J$44:$J$58,""),IF(_xlpm.x&lt;&gt;"",_xlpm.x,Hot_Leads[[#This Row],[Next Follow Up Notes]]))</f>
        <v>0</v>
      </c>
      <c r="N135" s="331"/>
    </row>
    <row r="136" spans="1:14" ht="63.75">
      <c r="A136" s="19" t="s">
        <v>850</v>
      </c>
      <c r="B136" s="52">
        <v>966569806120</v>
      </c>
      <c r="C136" s="18" t="s">
        <v>851</v>
      </c>
      <c r="D136" s="18"/>
      <c r="E136" s="17" t="s">
        <v>31</v>
      </c>
      <c r="F136" s="14"/>
      <c r="G136" s="14" t="s">
        <v>852</v>
      </c>
      <c r="H136" s="31">
        <v>46263</v>
      </c>
      <c r="I136" s="18" t="s">
        <v>853</v>
      </c>
      <c r="J136" s="18"/>
      <c r="K136" s="31"/>
      <c r="L136" s="18"/>
      <c r="M136" s="38" cm="1">
        <f t="array" ref="M136">_xlfn.LET(_xlpm.x,_xlfn.XLOOKUP(Hot_Leads[[#This Row],[Phone]],Dashboard!$M$44:$M$58,Dashboard!$J$44:$J$58,""),IF(_xlpm.x&lt;&gt;"",_xlpm.x,Hot_Leads[[#This Row],[Next Follow Up Notes]]))</f>
        <v>0</v>
      </c>
      <c r="N136" s="331"/>
    </row>
    <row r="137" spans="1:14" ht="53.25" customHeight="1">
      <c r="A137" s="19" t="s">
        <v>854</v>
      </c>
      <c r="B137" s="52">
        <v>966555576615</v>
      </c>
      <c r="C137" s="18" t="s">
        <v>855</v>
      </c>
      <c r="D137" s="18"/>
      <c r="E137" s="17" t="s">
        <v>34</v>
      </c>
      <c r="F137" s="14"/>
      <c r="G137" s="14" t="s">
        <v>856</v>
      </c>
      <c r="H137" s="31">
        <v>46294</v>
      </c>
      <c r="I137" s="18" t="s">
        <v>857</v>
      </c>
      <c r="J137" s="18"/>
      <c r="K137" s="31"/>
      <c r="L137" s="18"/>
      <c r="M137" s="38" cm="1">
        <f t="array" ref="M137">_xlfn.LET(_xlpm.x,_xlfn.XLOOKUP(Hot_Leads[[#This Row],[Phone]],Dashboard!$M$44:$M$58,Dashboard!$J$44:$J$58,""),IF(_xlpm.x&lt;&gt;"",_xlpm.x,Hot_Leads[[#This Row],[Next Follow Up Notes]]))</f>
        <v>0</v>
      </c>
      <c r="N137" s="331"/>
    </row>
    <row r="138" spans="1:14" ht="102">
      <c r="A138" s="19" t="s">
        <v>858</v>
      </c>
      <c r="B138" s="52">
        <v>966501539605</v>
      </c>
      <c r="C138" s="18" t="s">
        <v>859</v>
      </c>
      <c r="D138" s="18"/>
      <c r="E138" s="17" t="s">
        <v>34</v>
      </c>
      <c r="F138" s="14"/>
      <c r="G138" s="14" t="s">
        <v>860</v>
      </c>
      <c r="H138" s="31">
        <v>46264</v>
      </c>
      <c r="I138" s="18" t="s">
        <v>861</v>
      </c>
      <c r="J138" s="18"/>
      <c r="K138" s="31"/>
      <c r="L138" s="18"/>
      <c r="M138" s="38" cm="1">
        <f t="array" ref="M138">_xlfn.LET(_xlpm.x,_xlfn.XLOOKUP(Hot_Leads[[#This Row],[Phone]],Dashboard!$M$44:$M$58,Dashboard!$J$44:$J$58,""),IF(_xlpm.x&lt;&gt;"",_xlpm.x,Hot_Leads[[#This Row],[Next Follow Up Notes]]))</f>
        <v>0</v>
      </c>
      <c r="N138" s="331"/>
    </row>
    <row r="139" spans="1:14" ht="38.25">
      <c r="A139" s="19" t="s">
        <v>862</v>
      </c>
      <c r="B139" s="52">
        <v>971561384961</v>
      </c>
      <c r="C139" s="18" t="s">
        <v>863</v>
      </c>
      <c r="D139" s="18"/>
      <c r="E139" s="17"/>
      <c r="F139" s="14"/>
      <c r="G139" s="14" t="s">
        <v>864</v>
      </c>
      <c r="H139" s="31">
        <v>46264</v>
      </c>
      <c r="I139" s="18" t="s">
        <v>865</v>
      </c>
      <c r="J139" s="18"/>
      <c r="K139" s="31"/>
      <c r="L139" s="18"/>
      <c r="M139" s="38" cm="1">
        <f t="array" ref="M139">_xlfn.LET(_xlpm.x,_xlfn.XLOOKUP(Hot_Leads[[#This Row],[Phone]],Dashboard!$M$44:$M$58,Dashboard!$J$44:$J$58,""),IF(_xlpm.x&lt;&gt;"",_xlpm.x,Hot_Leads[[#This Row],[Next Follow Up Notes]]))</f>
        <v>0</v>
      </c>
      <c r="N139" s="331"/>
    </row>
    <row r="140" spans="1:14" ht="60">
      <c r="A140" s="19" t="s">
        <v>866</v>
      </c>
      <c r="B140" s="52">
        <v>966551803008</v>
      </c>
      <c r="C140" s="18" t="s">
        <v>867</v>
      </c>
      <c r="D140" s="18"/>
      <c r="E140" s="17" t="s">
        <v>34</v>
      </c>
      <c r="F140" s="14"/>
      <c r="G140" s="14" t="s">
        <v>868</v>
      </c>
      <c r="H140" s="31">
        <v>46295</v>
      </c>
      <c r="I140" s="18"/>
      <c r="J140" s="18"/>
      <c r="K140" s="31"/>
      <c r="L140" s="18"/>
      <c r="M140" s="38" cm="1">
        <f t="array" ref="M140">_xlfn.LET(_xlpm.x,_xlfn.XLOOKUP(Hot_Leads[[#This Row],[Phone]],Dashboard!$M$44:$M$58,Dashboard!$J$44:$J$58,""),IF(_xlpm.x&lt;&gt;"",_xlpm.x,Hot_Leads[[#This Row],[Next Follow Up Notes]]))</f>
        <v>0</v>
      </c>
      <c r="N140" s="331"/>
    </row>
    <row r="141" spans="1:14" ht="89.25">
      <c r="A141" s="19" t="s">
        <v>869</v>
      </c>
      <c r="B141" s="52">
        <v>966501919364</v>
      </c>
      <c r="C141" s="18" t="s">
        <v>870</v>
      </c>
      <c r="D141" s="18"/>
      <c r="E141" s="17" t="s">
        <v>224</v>
      </c>
      <c r="F141" s="14"/>
      <c r="G141" s="14" t="s">
        <v>871</v>
      </c>
      <c r="H141" s="31">
        <v>46266</v>
      </c>
      <c r="I141" s="18" t="s">
        <v>872</v>
      </c>
      <c r="J141" s="18"/>
      <c r="K141" s="31"/>
      <c r="L141" s="18"/>
      <c r="M141" s="38" cm="1">
        <f t="array" ref="M141">_xlfn.LET(_xlpm.x,_xlfn.XLOOKUP(Hot_Leads[[#This Row],[Phone]],Dashboard!$M$44:$M$58,Dashboard!$J$44:$J$58,""),IF(_xlpm.x&lt;&gt;"",_xlpm.x,Hot_Leads[[#This Row],[Next Follow Up Notes]]))</f>
        <v>0</v>
      </c>
      <c r="N141" s="331"/>
    </row>
    <row r="142" spans="1:14" ht="63.75">
      <c r="A142" s="19" t="s">
        <v>873</v>
      </c>
      <c r="B142" s="52">
        <v>966541644374</v>
      </c>
      <c r="C142" s="18" t="s">
        <v>874</v>
      </c>
      <c r="D142" s="18"/>
      <c r="E142" s="17" t="s">
        <v>31</v>
      </c>
      <c r="F142" s="14"/>
      <c r="G142" s="14" t="s">
        <v>875</v>
      </c>
      <c r="H142" s="31">
        <v>46266</v>
      </c>
      <c r="I142" s="18" t="s">
        <v>876</v>
      </c>
      <c r="J142" s="18"/>
      <c r="K142" s="31"/>
      <c r="L142" s="18"/>
      <c r="M142" s="38" cm="1">
        <f t="array" ref="M142">_xlfn.LET(_xlpm.x,_xlfn.XLOOKUP(Hot_Leads[[#This Row],[Phone]],Dashboard!$M$44:$M$58,Dashboard!$J$44:$J$58,""),IF(_xlpm.x&lt;&gt;"",_xlpm.x,Hot_Leads[[#This Row],[Next Follow Up Notes]]))</f>
        <v>0</v>
      </c>
      <c r="N142" s="331"/>
    </row>
    <row r="143" spans="1:14" ht="51">
      <c r="A143" s="19" t="s">
        <v>877</v>
      </c>
      <c r="B143" s="52">
        <v>966543244456</v>
      </c>
      <c r="C143" s="18" t="s">
        <v>874</v>
      </c>
      <c r="D143" s="18"/>
      <c r="E143" s="17" t="s">
        <v>31</v>
      </c>
      <c r="F143" s="14"/>
      <c r="G143" s="14" t="s">
        <v>875</v>
      </c>
      <c r="H143" s="31">
        <v>46266</v>
      </c>
      <c r="I143" s="18" t="s">
        <v>878</v>
      </c>
      <c r="J143" s="18"/>
      <c r="K143" s="31"/>
      <c r="L143" s="18"/>
      <c r="M143" s="38" cm="1">
        <f t="array" ref="M143">_xlfn.LET(_xlpm.x,_xlfn.XLOOKUP(Hot_Leads[[#This Row],[Phone]],Dashboard!$M$44:$M$58,Dashboard!$J$44:$J$58,""),IF(_xlpm.x&lt;&gt;"",_xlpm.x,Hot_Leads[[#This Row],[Next Follow Up Notes]]))</f>
        <v>0</v>
      </c>
      <c r="N143" s="331"/>
    </row>
    <row r="144" spans="1:14" ht="63.75">
      <c r="A144" s="19" t="s">
        <v>879</v>
      </c>
      <c r="B144" s="52">
        <v>966532114950</v>
      </c>
      <c r="C144" s="18" t="s">
        <v>880</v>
      </c>
      <c r="D144" s="18"/>
      <c r="E144" s="17" t="s">
        <v>31</v>
      </c>
      <c r="F144" s="14"/>
      <c r="G144" s="14" t="s">
        <v>875</v>
      </c>
      <c r="H144" s="31">
        <v>46266</v>
      </c>
      <c r="I144" s="18" t="s">
        <v>881</v>
      </c>
      <c r="J144" s="18"/>
      <c r="K144" s="31"/>
      <c r="L144" s="18"/>
      <c r="M144" s="38" cm="1">
        <f t="array" ref="M144">_xlfn.LET(_xlpm.x,_xlfn.XLOOKUP(Hot_Leads[[#This Row],[Phone]],Dashboard!$M$44:$M$58,Dashboard!$J$44:$J$58,""),IF(_xlpm.x&lt;&gt;"",_xlpm.x,Hot_Leads[[#This Row],[Next Follow Up Notes]]))</f>
        <v>0</v>
      </c>
      <c r="N144" s="331"/>
    </row>
    <row r="145" spans="1:14" ht="38.25">
      <c r="A145" s="19" t="s">
        <v>882</v>
      </c>
      <c r="B145" s="52">
        <v>966556259213</v>
      </c>
      <c r="C145" s="18" t="s">
        <v>416</v>
      </c>
      <c r="D145" s="18"/>
      <c r="E145" s="17" t="s">
        <v>31</v>
      </c>
      <c r="F145" s="47" t="s">
        <v>883</v>
      </c>
      <c r="G145" s="14" t="s">
        <v>884</v>
      </c>
      <c r="H145" s="31">
        <v>46267</v>
      </c>
      <c r="I145" s="18" t="s">
        <v>885</v>
      </c>
      <c r="J145" s="18"/>
      <c r="K145" s="31"/>
      <c r="L145" s="18"/>
      <c r="M145" s="38" cm="1">
        <f t="array" ref="M145">_xlfn.LET(_xlpm.x,_xlfn.XLOOKUP(Hot_Leads[[#This Row],[Phone]],Dashboard!$M$44:$M$58,Dashboard!$J$44:$J$58,""),IF(_xlpm.x&lt;&gt;"",_xlpm.x,Hot_Leads[[#This Row],[Next Follow Up Notes]]))</f>
        <v>0</v>
      </c>
      <c r="N145" s="331"/>
    </row>
    <row r="146" spans="1:14" ht="76.5">
      <c r="A146" s="19" t="s">
        <v>886</v>
      </c>
      <c r="B146" s="52">
        <v>966565396731</v>
      </c>
      <c r="C146" s="18" t="s">
        <v>752</v>
      </c>
      <c r="D146" s="18"/>
      <c r="E146" s="17" t="s">
        <v>34</v>
      </c>
      <c r="F146" s="14"/>
      <c r="G146" s="14"/>
      <c r="H146" s="31">
        <v>46270</v>
      </c>
      <c r="I146" s="18" t="s">
        <v>887</v>
      </c>
      <c r="J146" s="18"/>
      <c r="K146" s="31"/>
      <c r="L146" s="18"/>
      <c r="M146" s="38" cm="1">
        <f t="array" ref="M146">_xlfn.LET(_xlpm.x,_xlfn.XLOOKUP(Hot_Leads[[#This Row],[Phone]],Dashboard!$M$44:$M$58,Dashboard!$J$44:$J$58,""),IF(_xlpm.x&lt;&gt;"",_xlpm.x,Hot_Leads[[#This Row],[Next Follow Up Notes]]))</f>
        <v>0</v>
      </c>
      <c r="N146" s="331"/>
    </row>
    <row r="147" spans="1:14" ht="57.75" customHeight="1">
      <c r="A147" s="19" t="s">
        <v>293</v>
      </c>
      <c r="B147" s="52">
        <v>966572572847</v>
      </c>
      <c r="C147" s="18" t="s">
        <v>888</v>
      </c>
      <c r="D147" s="18"/>
      <c r="E147" s="17" t="s">
        <v>31</v>
      </c>
      <c r="F147" s="14" t="s">
        <v>889</v>
      </c>
      <c r="G147" s="14" t="s">
        <v>510</v>
      </c>
      <c r="H147" s="31">
        <v>46271</v>
      </c>
      <c r="I147" s="18" t="s">
        <v>890</v>
      </c>
      <c r="J147" s="18"/>
      <c r="K147" s="31"/>
      <c r="L147" s="18"/>
      <c r="M147" s="38" cm="1">
        <f t="array" ref="M147">_xlfn.LET(_xlpm.x,_xlfn.XLOOKUP(Hot_Leads[[#This Row],[Phone]],Dashboard!$M$44:$M$58,Dashboard!$J$44:$J$58,""),IF(_xlpm.x&lt;&gt;"",_xlpm.x,Hot_Leads[[#This Row],[Next Follow Up Notes]]))</f>
        <v>0</v>
      </c>
      <c r="N147" s="331"/>
    </row>
    <row r="148" spans="1:14" ht="30">
      <c r="A148" s="19" t="s">
        <v>891</v>
      </c>
      <c r="B148" s="52">
        <v>966502722487</v>
      </c>
      <c r="C148" s="18" t="s">
        <v>892</v>
      </c>
      <c r="D148" s="18"/>
      <c r="E148" s="17" t="s">
        <v>34</v>
      </c>
      <c r="F148" s="14"/>
      <c r="G148" s="14" t="s">
        <v>893</v>
      </c>
      <c r="H148" s="31">
        <v>46271</v>
      </c>
      <c r="I148" s="18"/>
      <c r="J148" s="18"/>
      <c r="K148" s="31"/>
      <c r="L148" s="18"/>
      <c r="M148" s="38" cm="1">
        <f t="array" ref="M148">_xlfn.LET(_xlpm.x,_xlfn.XLOOKUP(Hot_Leads[[#This Row],[Phone]],Dashboard!$M$44:$M$58,Dashboard!$J$44:$J$58,""),IF(_xlpm.x&lt;&gt;"",_xlpm.x,Hot_Leads[[#This Row],[Next Follow Up Notes]]))</f>
        <v>0</v>
      </c>
      <c r="N148" s="331"/>
    </row>
    <row r="149" spans="1:14" ht="30">
      <c r="A149" s="19" t="s">
        <v>894</v>
      </c>
      <c r="B149" s="52">
        <v>96656445140</v>
      </c>
      <c r="C149" s="18" t="s">
        <v>892</v>
      </c>
      <c r="D149" s="18"/>
      <c r="E149" s="17" t="s">
        <v>34</v>
      </c>
      <c r="F149" s="14"/>
      <c r="G149" s="14" t="s">
        <v>893</v>
      </c>
      <c r="H149" s="31">
        <v>46271</v>
      </c>
      <c r="I149" s="18"/>
      <c r="J149" s="18"/>
      <c r="K149" s="31"/>
      <c r="L149" s="18"/>
      <c r="M149" s="38" cm="1">
        <f t="array" ref="M149">_xlfn.LET(_xlpm.x,_xlfn.XLOOKUP(Hot_Leads[[#This Row],[Phone]],Dashboard!$M$44:$M$58,Dashboard!$J$44:$J$58,""),IF(_xlpm.x&lt;&gt;"",_xlpm.x,Hot_Leads[[#This Row],[Next Follow Up Notes]]))</f>
        <v>0</v>
      </c>
      <c r="N149" s="331"/>
    </row>
    <row r="150" spans="1:14" ht="30">
      <c r="A150" s="19" t="s">
        <v>895</v>
      </c>
      <c r="B150" s="52">
        <v>966543829237</v>
      </c>
      <c r="C150" s="18" t="s">
        <v>896</v>
      </c>
      <c r="D150" s="18"/>
      <c r="E150" s="17" t="s">
        <v>31</v>
      </c>
      <c r="F150" s="14"/>
      <c r="G150" s="14" t="s">
        <v>897</v>
      </c>
      <c r="H150" s="31">
        <v>46272</v>
      </c>
      <c r="I150" s="18"/>
      <c r="J150" s="18"/>
      <c r="K150" s="31"/>
      <c r="L150" s="18"/>
      <c r="M150" s="38" cm="1">
        <f t="array" ref="M150">_xlfn.LET(_xlpm.x,_xlfn.XLOOKUP(Hot_Leads[[#This Row],[Phone]],Dashboard!$M$44:$M$58,Dashboard!$J$44:$J$58,""),IF(_xlpm.x&lt;&gt;"",_xlpm.x,Hot_Leads[[#This Row],[Next Follow Up Notes]]))</f>
        <v>0</v>
      </c>
      <c r="N150" s="331"/>
    </row>
    <row r="151" spans="1:14" ht="63.75">
      <c r="A151" s="19" t="s">
        <v>898</v>
      </c>
      <c r="B151" s="52">
        <v>966563157676</v>
      </c>
      <c r="C151" s="18" t="s">
        <v>899</v>
      </c>
      <c r="D151" s="18"/>
      <c r="E151" s="17" t="s">
        <v>34</v>
      </c>
      <c r="F151" s="14"/>
      <c r="G151" s="14" t="s">
        <v>510</v>
      </c>
      <c r="H151" s="31">
        <v>46273</v>
      </c>
      <c r="I151" s="18" t="s">
        <v>900</v>
      </c>
      <c r="J151" s="18"/>
      <c r="K151" s="31"/>
      <c r="L151" s="18"/>
      <c r="M151" s="38" cm="1">
        <f t="array" ref="M151">_xlfn.LET(_xlpm.x,_xlfn.XLOOKUP(Hot_Leads[[#This Row],[Phone]],Dashboard!$M$44:$M$58,Dashboard!$J$44:$J$58,""),IF(_xlpm.x&lt;&gt;"",_xlpm.x,Hot_Leads[[#This Row],[Next Follow Up Notes]]))</f>
        <v>0</v>
      </c>
      <c r="N151" s="331"/>
    </row>
    <row r="152" spans="1:14" ht="15">
      <c r="A152" s="19" t="s">
        <v>901</v>
      </c>
      <c r="B152" s="52">
        <v>966562485185</v>
      </c>
      <c r="C152" s="18" t="s">
        <v>902</v>
      </c>
      <c r="D152" s="18"/>
      <c r="E152" s="17" t="s">
        <v>31</v>
      </c>
      <c r="F152" s="14"/>
      <c r="G152" s="14" t="s">
        <v>510</v>
      </c>
      <c r="H152" s="31">
        <v>46274</v>
      </c>
      <c r="I152" s="18"/>
      <c r="J152" s="18"/>
      <c r="K152" s="31"/>
      <c r="L152" s="18"/>
      <c r="M152" s="38" cm="1">
        <f t="array" ref="M152">_xlfn.LET(_xlpm.x,_xlfn.XLOOKUP(Hot_Leads[[#This Row],[Phone]],Dashboard!$M$44:$M$58,Dashboard!$J$44:$J$58,""),IF(_xlpm.x&lt;&gt;"",_xlpm.x,Hot_Leads[[#This Row],[Next Follow Up Notes]]))</f>
        <v>0</v>
      </c>
      <c r="N152" s="331" t="str" cm="1">
        <f t="array" ref="N152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53" spans="1:14" ht="89.25">
      <c r="A153" s="19" t="s">
        <v>903</v>
      </c>
      <c r="B153" s="52">
        <v>966531598424</v>
      </c>
      <c r="C153" s="18" t="s">
        <v>904</v>
      </c>
      <c r="D153" s="18"/>
      <c r="E153" s="17" t="s">
        <v>31</v>
      </c>
      <c r="F153" s="14"/>
      <c r="G153" s="14" t="s">
        <v>510</v>
      </c>
      <c r="H153" s="31">
        <v>46272</v>
      </c>
      <c r="I153" s="18" t="s">
        <v>905</v>
      </c>
      <c r="J153" s="18"/>
      <c r="K153" s="31"/>
      <c r="L153" s="18"/>
      <c r="M153" s="38" cm="1">
        <f t="array" ref="M153">_xlfn.LET(_xlpm.x,_xlfn.XLOOKUP(Hot_Leads[[#This Row],[Phone]],Dashboard!$M$44:$M$58,Dashboard!$J$44:$J$58,""),IF(_xlpm.x&lt;&gt;"",_xlpm.x,Hot_Leads[[#This Row],[Next Follow Up Notes]]))</f>
        <v>0</v>
      </c>
      <c r="N153" s="331" t="str" cm="1">
        <f t="array" ref="N153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54" spans="1:14" ht="15">
      <c r="A154" s="19"/>
      <c r="B154" s="52"/>
      <c r="C154" s="18"/>
      <c r="D154" s="18"/>
      <c r="E154" s="17"/>
      <c r="F154" s="14"/>
      <c r="G154" s="14"/>
      <c r="H154" s="31"/>
      <c r="I154" s="18"/>
      <c r="J154" s="18"/>
      <c r="K154" s="31"/>
      <c r="L154" s="18"/>
      <c r="M154" s="38" cm="1">
        <f t="array" ref="M154">_xlfn.LET(_xlpm.x,_xlfn.XLOOKUP(Hot_Leads[[#This Row],[Phone]],Dashboard!$M$44:$M$58,Dashboard!$J$44:$J$58,""),IF(_xlpm.x&lt;&gt;"",_xlpm.x,Hot_Leads[[#This Row],[Next Follow Up Notes]]))</f>
        <v>0</v>
      </c>
      <c r="N154" s="331" t="str" cm="1">
        <f t="array" ref="N154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  <row r="155" spans="1:14" ht="15">
      <c r="A155" s="19"/>
      <c r="B155" s="52"/>
      <c r="C155" s="18"/>
      <c r="D155" s="18"/>
      <c r="E155" s="17"/>
      <c r="F155" s="14"/>
      <c r="G155" s="14"/>
      <c r="H155" s="31"/>
      <c r="I155" s="18"/>
      <c r="J155" s="18"/>
      <c r="K155" s="31"/>
      <c r="L155" s="18"/>
      <c r="M155" s="38" cm="1">
        <f t="array" ref="M155">_xlfn.LET(_xlpm.x,_xlfn.XLOOKUP(Hot_Leads[[#This Row],[Phone]],Dashboard!$M$44:$M$58,Dashboard!$J$44:$J$58,""),IF(_xlpm.x&lt;&gt;"",_xlpm.x,Hot_Leads[[#This Row],[Next Follow Up Notes]]))</f>
        <v>0</v>
      </c>
      <c r="N155" s="331" t="str" cm="1">
        <f t="array" ref="N155">_xlfn.LET(_xlpm.x,_xlfn.XLOOKUP(Hot_Leads[[#This Row],[Phone]],Dashboard!$M$44:$M$58,Dashboard!$K$44:$K$58,""),_xlpm.orig,Hot_Leads[[#This Row],[Next Follow Up Date]],IF(_xlpm.x&lt;&gt;"",_xlpm.x,IF(OR(_xlpm.orig="",_xlpm.orig=0),"",_xlpm.orig)))</f>
        <v/>
      </c>
    </row>
  </sheetData>
  <conditionalFormatting sqref="B51:B1048576 B1:B49">
    <cfRule type="duplicateValues" dxfId="152" priority="1"/>
  </conditionalFormatting>
  <dataValidations count="2">
    <dataValidation type="list" allowBlank="1" sqref="L2:L155" xr:uid="{00000000-0002-0000-0400-000000000000}">
      <formula1>"Abdelrahman,Hamdy ,Yasir"</formula1>
    </dataValidation>
    <dataValidation type="custom" allowBlank="1" showDropDown="1" sqref="K2:K155 H2:H155" xr:uid="{00000000-0002-0000-0400-000001000000}">
      <formula1>OR(NOT(ISERROR(DATEVALUE(H2))), AND(ISNUMBER(H2), LEFT(CELL("format", H2))="D"))</formula1>
    </dataValidation>
  </dataValidations>
  <hyperlinks>
    <hyperlink ref="D2" r:id="rId1" xr:uid="{00000000-0004-0000-0400-000000000000}"/>
    <hyperlink ref="D3" r:id="rId2" xr:uid="{00000000-0004-0000-0400-000001000000}"/>
    <hyperlink ref="D5" r:id="rId3" xr:uid="{00000000-0004-0000-0400-000002000000}"/>
    <hyperlink ref="D6" r:id="rId4" xr:uid="{00000000-0004-0000-0400-000003000000}"/>
    <hyperlink ref="D7" r:id="rId5" xr:uid="{00000000-0004-0000-0400-000004000000}"/>
    <hyperlink ref="D8" r:id="rId6" xr:uid="{00000000-0004-0000-0400-000005000000}"/>
    <hyperlink ref="D16" r:id="rId7" xr:uid="{00000000-0004-0000-0400-000006000000}"/>
    <hyperlink ref="D20" r:id="rId8" xr:uid="{678DF2C0-BD19-419C-BF1D-29061A62B747}"/>
    <hyperlink ref="F21" r:id="rId9" xr:uid="{6332F1B9-4047-42D7-ABDD-4B96CFBF42D1}"/>
    <hyperlink ref="D21" r:id="rId10" xr:uid="{301D7445-E273-4FCA-A7CD-956E43371FE7}"/>
    <hyperlink ref="D22" r:id="rId11" xr:uid="{684B008B-F0E5-427A-8909-582AA2DBA906}"/>
    <hyperlink ref="F33" r:id="rId12" xr:uid="{5CDCAB91-AD70-4F71-8CC6-BE73510D5434}"/>
    <hyperlink ref="F34" r:id="rId13" xr:uid="{928285DD-D428-4F45-B12C-322276FA9BC2}"/>
    <hyperlink ref="F36" r:id="rId14" xr:uid="{83E40B5F-A8D0-4272-AF26-C95342BA981C}"/>
    <hyperlink ref="F40" r:id="rId15" xr:uid="{5F23B52D-9941-4E7C-8646-CB0A9620A788}"/>
    <hyperlink ref="F41" r:id="rId16" xr:uid="{F179042E-F477-420E-B65D-11BFE985671B}"/>
    <hyperlink ref="F42" r:id="rId17" xr:uid="{9D9BFC5E-0940-4600-B315-FCA0993DFB5F}"/>
    <hyperlink ref="F45" r:id="rId18" xr:uid="{E5BAC3F5-964C-4EAE-9753-19F104308F42}"/>
    <hyperlink ref="D47" r:id="rId19" xr:uid="{E3F0F4CA-324E-4E16-8977-30D8911DB4F9}"/>
    <hyperlink ref="D43" r:id="rId20" xr:uid="{B7BD8892-8A5F-41C1-BC75-84A13A30A41B}"/>
    <hyperlink ref="F43" r:id="rId21" xr:uid="{992DEABD-DA45-4C3A-ACB6-8C6B2E91876C}"/>
    <hyperlink ref="F46" r:id="rId22" xr:uid="{AC0EF7D9-9C0D-481A-80F6-7D2D8CBA1A46}"/>
    <hyperlink ref="F51" r:id="rId23" xr:uid="{D3C3FF89-2817-43F5-B747-2F48413B8132}"/>
    <hyperlink ref="F47" r:id="rId24" xr:uid="{05A2751D-0B4F-4645-AC5E-729A0C53A002}"/>
    <hyperlink ref="F67" r:id="rId25" xr:uid="{E04B4A3F-B7CF-4F3D-A230-AE00204B8E7D}"/>
    <hyperlink ref="F68" r:id="rId26" xr:uid="{154DEB53-11AC-430F-90FB-CBC21EAD2FE7}"/>
    <hyperlink ref="F74" r:id="rId27" xr:uid="{5B4AD100-E827-43C1-B9FB-A0FDCEF132FB}"/>
    <hyperlink ref="F76" r:id="rId28" xr:uid="{33328C12-D37B-4BD1-B7AD-B927227555B8}"/>
    <hyperlink ref="F77" r:id="rId29" xr:uid="{FC18E27F-2C3C-4C36-B6E4-737DDC818DED}"/>
    <hyperlink ref="F88" r:id="rId30" xr:uid="{21F14192-252E-410C-8AD2-6FEFDFAB775B}"/>
    <hyperlink ref="F134" r:id="rId31" xr:uid="{670A9895-3325-4243-9FD8-4A83E3BAE8B5}"/>
    <hyperlink ref="F145" r:id="rId32" xr:uid="{68C5DDBE-34E7-4F5D-87CB-5AAEA99C304A}"/>
  </hyperlinks>
  <pageMargins left="0.7" right="0.7" top="0.75" bottom="0.75" header="0.3" footer="0.3"/>
  <tableParts count="1">
    <tablePart r:id="rId3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152682-4291-4C6A-B231-9A4CF3D793E2}">
          <x14:formula1>
            <xm:f>'Data Validation'!$C$2:$C$29</xm:f>
          </x14:formula1>
          <xm:sqref>E2:E3 E5:E9 E11 E13 E15:E16 E19 E21:E1048576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BBAF-E722-4098-AB74-BC8E610EE061}">
  <dimension ref="A1:M4811"/>
  <sheetViews>
    <sheetView showGridLines="0" workbookViewId="0">
      <pane xSplit="2" ySplit="1" topLeftCell="C561" activePane="bottomRight" state="frozen"/>
      <selection pane="topRight"/>
      <selection pane="bottomLeft"/>
      <selection pane="bottomRight" activeCell="C586" sqref="C586"/>
    </sheetView>
  </sheetViews>
  <sheetFormatPr defaultColWidth="9.140625" defaultRowHeight="12.75"/>
  <cols>
    <col min="1" max="1" width="16.140625" style="38" customWidth="1"/>
    <col min="2" max="2" width="8.5703125" style="38" customWidth="1"/>
    <col min="3" max="3" width="34.28515625" style="39" customWidth="1"/>
    <col min="4" max="4" width="24.7109375" style="38" customWidth="1"/>
    <col min="5" max="5" width="18.140625" style="38" customWidth="1"/>
    <col min="6" max="6" width="17.140625" style="289" customWidth="1"/>
    <col min="7" max="7" width="15.28515625" style="38" customWidth="1"/>
    <col min="8" max="8" width="16.140625" style="38" customWidth="1"/>
    <col min="9" max="9" width="19" style="38" customWidth="1"/>
    <col min="10" max="10" width="15.28515625" style="38" customWidth="1"/>
    <col min="11" max="11" width="47.5703125" style="39" customWidth="1"/>
    <col min="12" max="12" width="16.140625" style="38" customWidth="1"/>
    <col min="13" max="13" width="28.5703125" style="39" customWidth="1"/>
    <col min="14" max="16384" width="9.140625" style="38"/>
  </cols>
  <sheetData>
    <row r="1" spans="1:13" ht="24.75" customHeight="1">
      <c r="A1" s="234" t="s">
        <v>906</v>
      </c>
      <c r="B1" s="235" t="s">
        <v>115</v>
      </c>
      <c r="C1" s="236" t="s">
        <v>90</v>
      </c>
      <c r="D1" s="235" t="s">
        <v>907</v>
      </c>
      <c r="E1" s="235" t="s">
        <v>908</v>
      </c>
      <c r="F1" s="235" t="s">
        <v>909</v>
      </c>
      <c r="G1" s="235" t="s">
        <v>910</v>
      </c>
      <c r="H1" s="237" t="s">
        <v>193</v>
      </c>
      <c r="I1" s="237" t="s">
        <v>911</v>
      </c>
      <c r="J1" s="237" t="s">
        <v>194</v>
      </c>
      <c r="K1" s="236" t="s">
        <v>912</v>
      </c>
      <c r="L1" s="235" t="s">
        <v>198</v>
      </c>
      <c r="M1" s="238" t="s">
        <v>913</v>
      </c>
    </row>
    <row r="2" spans="1:13" ht="21.75" customHeight="1">
      <c r="A2" s="228">
        <v>46145</v>
      </c>
      <c r="B2" s="38">
        <f t="shared" ref="B2:B65" si="0">WEEKNUM(A2)</f>
        <v>19</v>
      </c>
      <c r="C2" s="221" t="s">
        <v>219</v>
      </c>
      <c r="D2" s="220" t="s">
        <v>66</v>
      </c>
      <c r="E2" s="222" t="s">
        <v>914</v>
      </c>
      <c r="F2" s="220" t="s">
        <v>915</v>
      </c>
      <c r="G2" s="220" t="s">
        <v>916</v>
      </c>
      <c r="H2" s="220" t="s">
        <v>30</v>
      </c>
      <c r="I2" s="220" t="s">
        <v>225</v>
      </c>
      <c r="J2" s="220" t="s">
        <v>31</v>
      </c>
      <c r="K2" s="221" t="s">
        <v>917</v>
      </c>
      <c r="L2" s="229">
        <v>46145</v>
      </c>
      <c r="M2" s="223" t="s">
        <v>918</v>
      </c>
    </row>
    <row r="3" spans="1:13" ht="21.75" customHeight="1">
      <c r="A3" s="228">
        <v>46145</v>
      </c>
      <c r="B3" s="38">
        <f t="shared" si="0"/>
        <v>19</v>
      </c>
      <c r="C3" s="221" t="s">
        <v>205</v>
      </c>
      <c r="D3" s="220" t="s">
        <v>206</v>
      </c>
      <c r="E3" s="220" t="s">
        <v>914</v>
      </c>
      <c r="F3" s="220" t="s">
        <v>915</v>
      </c>
      <c r="G3" s="220" t="s">
        <v>916</v>
      </c>
      <c r="H3" s="220" t="s">
        <v>33</v>
      </c>
      <c r="I3" s="220" t="s">
        <v>41</v>
      </c>
      <c r="J3" s="220" t="s">
        <v>31</v>
      </c>
      <c r="K3" s="221" t="s">
        <v>919</v>
      </c>
      <c r="L3" s="229">
        <v>46145</v>
      </c>
      <c r="M3" s="223" t="s">
        <v>920</v>
      </c>
    </row>
    <row r="4" spans="1:13" ht="21.75" customHeight="1">
      <c r="A4" s="228">
        <v>46145</v>
      </c>
      <c r="B4" s="38">
        <f t="shared" si="0"/>
        <v>19</v>
      </c>
      <c r="C4" s="221" t="s">
        <v>921</v>
      </c>
      <c r="D4" s="220" t="s">
        <v>68</v>
      </c>
      <c r="E4" s="220" t="s">
        <v>914</v>
      </c>
      <c r="F4" s="220" t="s">
        <v>915</v>
      </c>
      <c r="G4" s="220" t="s">
        <v>916</v>
      </c>
      <c r="H4" s="220" t="s">
        <v>466</v>
      </c>
      <c r="I4" s="220" t="s">
        <v>466</v>
      </c>
      <c r="J4" s="220" t="s">
        <v>31</v>
      </c>
      <c r="K4" s="221" t="s">
        <v>922</v>
      </c>
      <c r="L4" s="229">
        <v>46147</v>
      </c>
      <c r="M4" s="223" t="s">
        <v>923</v>
      </c>
    </row>
    <row r="5" spans="1:13" ht="21.75" customHeight="1">
      <c r="A5" s="228">
        <v>46145</v>
      </c>
      <c r="B5" s="38">
        <f t="shared" si="0"/>
        <v>19</v>
      </c>
      <c r="C5" s="221" t="s">
        <v>535</v>
      </c>
      <c r="D5" s="220" t="s">
        <v>76</v>
      </c>
      <c r="E5" s="220" t="s">
        <v>924</v>
      </c>
      <c r="F5" s="220" t="s">
        <v>915</v>
      </c>
      <c r="G5" s="220" t="s">
        <v>916</v>
      </c>
      <c r="H5" s="220" t="s">
        <v>466</v>
      </c>
      <c r="I5" s="220" t="s">
        <v>466</v>
      </c>
      <c r="J5" s="220" t="s">
        <v>31</v>
      </c>
      <c r="K5" s="221" t="s">
        <v>925</v>
      </c>
      <c r="L5" s="229">
        <v>46145</v>
      </c>
      <c r="M5" s="223" t="s">
        <v>926</v>
      </c>
    </row>
    <row r="6" spans="1:13" ht="21.75" customHeight="1">
      <c r="A6" s="228">
        <v>46145</v>
      </c>
      <c r="B6" s="38">
        <f t="shared" si="0"/>
        <v>19</v>
      </c>
      <c r="C6" s="221" t="s">
        <v>927</v>
      </c>
      <c r="D6" s="220" t="s">
        <v>569</v>
      </c>
      <c r="E6" s="220" t="s">
        <v>924</v>
      </c>
      <c r="F6" s="220" t="s">
        <v>915</v>
      </c>
      <c r="G6" s="220" t="s">
        <v>916</v>
      </c>
      <c r="H6" s="220" t="s">
        <v>30</v>
      </c>
      <c r="I6" s="220" t="s">
        <v>32</v>
      </c>
      <c r="J6" s="220" t="s">
        <v>42</v>
      </c>
      <c r="K6" s="221" t="s">
        <v>928</v>
      </c>
      <c r="L6" s="229">
        <v>46147</v>
      </c>
      <c r="M6" s="223" t="s">
        <v>929</v>
      </c>
    </row>
    <row r="7" spans="1:13" ht="21.75" customHeight="1">
      <c r="A7" s="228">
        <v>46145</v>
      </c>
      <c r="B7" s="38">
        <f t="shared" si="0"/>
        <v>19</v>
      </c>
      <c r="C7" s="221" t="s">
        <v>930</v>
      </c>
      <c r="D7" s="220" t="s">
        <v>574</v>
      </c>
      <c r="E7" s="220" t="s">
        <v>924</v>
      </c>
      <c r="F7" s="220" t="s">
        <v>915</v>
      </c>
      <c r="G7" s="220" t="s">
        <v>916</v>
      </c>
      <c r="H7" s="220" t="s">
        <v>466</v>
      </c>
      <c r="I7" s="220" t="s">
        <v>466</v>
      </c>
      <c r="J7" s="220" t="s">
        <v>31</v>
      </c>
      <c r="K7" s="221" t="s">
        <v>931</v>
      </c>
      <c r="L7" s="229">
        <v>46149</v>
      </c>
      <c r="M7" s="223" t="s">
        <v>916</v>
      </c>
    </row>
    <row r="8" spans="1:13" ht="21.75" customHeight="1">
      <c r="A8" s="228">
        <v>46145</v>
      </c>
      <c r="B8" s="38">
        <f t="shared" si="0"/>
        <v>19</v>
      </c>
      <c r="C8" s="221" t="s">
        <v>932</v>
      </c>
      <c r="D8" s="220" t="s">
        <v>933</v>
      </c>
      <c r="E8" s="220" t="s">
        <v>934</v>
      </c>
      <c r="F8" s="220" t="s">
        <v>915</v>
      </c>
      <c r="G8" s="220" t="s">
        <v>916</v>
      </c>
      <c r="H8" s="220" t="s">
        <v>33</v>
      </c>
      <c r="I8" s="220" t="s">
        <v>32</v>
      </c>
      <c r="J8" s="220" t="s">
        <v>31</v>
      </c>
      <c r="K8" s="221" t="s">
        <v>935</v>
      </c>
      <c r="L8" s="229">
        <v>46147</v>
      </c>
      <c r="M8" s="223" t="s">
        <v>936</v>
      </c>
    </row>
    <row r="9" spans="1:13" ht="21.75" customHeight="1">
      <c r="A9" s="228">
        <v>46145</v>
      </c>
      <c r="B9" s="38">
        <f t="shared" si="0"/>
        <v>19</v>
      </c>
      <c r="C9" s="221" t="s">
        <v>937</v>
      </c>
      <c r="D9" s="220" t="s">
        <v>72</v>
      </c>
      <c r="E9" s="220" t="s">
        <v>934</v>
      </c>
      <c r="F9" s="220" t="s">
        <v>915</v>
      </c>
      <c r="G9" s="220" t="s">
        <v>916</v>
      </c>
      <c r="H9" s="220" t="s">
        <v>33</v>
      </c>
      <c r="I9" s="220" t="s">
        <v>32</v>
      </c>
      <c r="J9" s="220" t="s">
        <v>31</v>
      </c>
      <c r="K9" s="221" t="s">
        <v>938</v>
      </c>
      <c r="L9" s="229">
        <v>46149</v>
      </c>
      <c r="M9" s="223" t="s">
        <v>939</v>
      </c>
    </row>
    <row r="10" spans="1:13" ht="21.75" customHeight="1">
      <c r="A10" s="228">
        <v>46145</v>
      </c>
      <c r="B10" s="38">
        <f t="shared" si="0"/>
        <v>19</v>
      </c>
      <c r="C10" s="221" t="s">
        <v>594</v>
      </c>
      <c r="D10" s="220" t="s">
        <v>78</v>
      </c>
      <c r="E10" s="220" t="s">
        <v>934</v>
      </c>
      <c r="F10" s="220" t="s">
        <v>915</v>
      </c>
      <c r="G10" s="220" t="s">
        <v>916</v>
      </c>
      <c r="H10" s="220" t="s">
        <v>30</v>
      </c>
      <c r="I10" s="220" t="s">
        <v>35</v>
      </c>
      <c r="J10" s="220" t="s">
        <v>34</v>
      </c>
      <c r="K10" s="221" t="s">
        <v>940</v>
      </c>
      <c r="L10" s="229">
        <v>46148</v>
      </c>
      <c r="M10" s="223" t="s">
        <v>941</v>
      </c>
    </row>
    <row r="11" spans="1:13" ht="21.75" customHeight="1">
      <c r="A11" s="228">
        <v>46145</v>
      </c>
      <c r="B11" s="38">
        <f t="shared" si="0"/>
        <v>19</v>
      </c>
      <c r="C11" s="221" t="s">
        <v>535</v>
      </c>
      <c r="D11" s="220" t="s">
        <v>76</v>
      </c>
      <c r="E11" s="220" t="s">
        <v>942</v>
      </c>
      <c r="F11" s="220" t="s">
        <v>926</v>
      </c>
      <c r="G11" s="220" t="s">
        <v>943</v>
      </c>
      <c r="H11" s="220" t="s">
        <v>466</v>
      </c>
      <c r="I11" s="220" t="s">
        <v>466</v>
      </c>
      <c r="J11" s="220" t="s">
        <v>31</v>
      </c>
      <c r="K11" s="221" t="s">
        <v>944</v>
      </c>
      <c r="L11" s="229">
        <v>46152</v>
      </c>
      <c r="M11" s="223" t="s">
        <v>945</v>
      </c>
    </row>
    <row r="12" spans="1:13" ht="21.75" customHeight="1">
      <c r="A12" s="228">
        <v>46145</v>
      </c>
      <c r="B12" s="38">
        <f t="shared" si="0"/>
        <v>19</v>
      </c>
      <c r="C12" s="221" t="s">
        <v>219</v>
      </c>
      <c r="D12" s="220" t="s">
        <v>66</v>
      </c>
      <c r="E12" s="220" t="s">
        <v>946</v>
      </c>
      <c r="F12" s="220" t="s">
        <v>947</v>
      </c>
      <c r="G12" s="220" t="s">
        <v>916</v>
      </c>
      <c r="H12" s="220" t="s">
        <v>30</v>
      </c>
      <c r="I12" s="220" t="s">
        <v>225</v>
      </c>
      <c r="J12" s="220" t="s">
        <v>31</v>
      </c>
      <c r="K12" s="221" t="s">
        <v>948</v>
      </c>
      <c r="L12" s="229">
        <v>46146</v>
      </c>
      <c r="M12" s="223" t="s">
        <v>949</v>
      </c>
    </row>
    <row r="13" spans="1:13" ht="21.75" customHeight="1">
      <c r="A13" s="228">
        <v>46145</v>
      </c>
      <c r="B13" s="38">
        <f t="shared" si="0"/>
        <v>19</v>
      </c>
      <c r="C13" s="221" t="s">
        <v>563</v>
      </c>
      <c r="D13" s="220" t="s">
        <v>68</v>
      </c>
      <c r="E13" s="220" t="s">
        <v>950</v>
      </c>
      <c r="F13" s="220" t="s">
        <v>915</v>
      </c>
      <c r="G13" s="220" t="s">
        <v>916</v>
      </c>
      <c r="H13" s="220" t="s">
        <v>466</v>
      </c>
      <c r="I13" s="220" t="s">
        <v>466</v>
      </c>
      <c r="J13" s="220" t="s">
        <v>31</v>
      </c>
      <c r="K13" s="221" t="s">
        <v>951</v>
      </c>
      <c r="L13" s="229">
        <v>46149</v>
      </c>
      <c r="M13" s="223" t="s">
        <v>952</v>
      </c>
    </row>
    <row r="14" spans="1:13" ht="21.75" customHeight="1">
      <c r="A14" s="228">
        <v>46145</v>
      </c>
      <c r="B14" s="38">
        <f t="shared" si="0"/>
        <v>19</v>
      </c>
      <c r="C14" s="221" t="s">
        <v>953</v>
      </c>
      <c r="D14" s="220" t="s">
        <v>74</v>
      </c>
      <c r="E14" s="220" t="s">
        <v>954</v>
      </c>
      <c r="F14" s="220" t="s">
        <v>915</v>
      </c>
      <c r="G14" s="220" t="s">
        <v>916</v>
      </c>
      <c r="H14" s="220" t="s">
        <v>466</v>
      </c>
      <c r="I14" s="220" t="s">
        <v>466</v>
      </c>
      <c r="J14" s="220" t="s">
        <v>31</v>
      </c>
      <c r="K14" s="221" t="s">
        <v>955</v>
      </c>
      <c r="L14" s="229">
        <v>46147</v>
      </c>
      <c r="M14" s="223" t="s">
        <v>916</v>
      </c>
    </row>
    <row r="15" spans="1:13" ht="21.75" customHeight="1">
      <c r="A15" s="228">
        <v>46145</v>
      </c>
      <c r="B15" s="38">
        <f t="shared" si="0"/>
        <v>19</v>
      </c>
      <c r="C15" s="221" t="s">
        <v>436</v>
      </c>
      <c r="D15" s="220" t="s">
        <v>956</v>
      </c>
      <c r="E15" s="220" t="s">
        <v>954</v>
      </c>
      <c r="F15" s="220" t="s">
        <v>915</v>
      </c>
      <c r="G15" s="220" t="s">
        <v>916</v>
      </c>
      <c r="H15" s="220" t="s">
        <v>30</v>
      </c>
      <c r="I15" s="220" t="s">
        <v>32</v>
      </c>
      <c r="J15" s="220" t="s">
        <v>42</v>
      </c>
      <c r="K15" s="221" t="s">
        <v>957</v>
      </c>
      <c r="L15" s="229">
        <v>46149</v>
      </c>
      <c r="M15" s="224" t="s">
        <v>958</v>
      </c>
    </row>
    <row r="16" spans="1:13" ht="21.75" customHeight="1">
      <c r="A16" s="230">
        <v>46145</v>
      </c>
      <c r="B16" s="38">
        <f t="shared" si="0"/>
        <v>19</v>
      </c>
      <c r="C16" s="226" t="s">
        <v>959</v>
      </c>
      <c r="D16" s="225"/>
      <c r="E16" s="225" t="s">
        <v>960</v>
      </c>
      <c r="F16" s="225" t="s">
        <v>961</v>
      </c>
      <c r="G16" s="225" t="s">
        <v>466</v>
      </c>
      <c r="H16" s="225" t="s">
        <v>466</v>
      </c>
      <c r="I16" s="225" t="s">
        <v>466</v>
      </c>
      <c r="J16" s="225" t="s">
        <v>962</v>
      </c>
      <c r="K16" s="226" t="s">
        <v>963</v>
      </c>
      <c r="L16" s="231"/>
      <c r="M16" s="227"/>
    </row>
    <row r="17" spans="1:13" ht="21.75" customHeight="1">
      <c r="A17" s="246">
        <v>46146</v>
      </c>
      <c r="B17" s="38">
        <f t="shared" si="0"/>
        <v>19</v>
      </c>
      <c r="C17" s="247" t="s">
        <v>503</v>
      </c>
      <c r="D17" s="248" t="s">
        <v>64</v>
      </c>
      <c r="E17" s="248" t="s">
        <v>914</v>
      </c>
      <c r="F17" s="248" t="s">
        <v>915</v>
      </c>
      <c r="G17" s="248" t="s">
        <v>916</v>
      </c>
      <c r="H17" s="248" t="s">
        <v>30</v>
      </c>
      <c r="I17" s="248" t="s">
        <v>225</v>
      </c>
      <c r="J17" s="248" t="s">
        <v>31</v>
      </c>
      <c r="K17" s="247" t="s">
        <v>964</v>
      </c>
      <c r="L17" s="249">
        <v>46148</v>
      </c>
      <c r="M17" s="250" t="s">
        <v>965</v>
      </c>
    </row>
    <row r="18" spans="1:13" ht="21.75" customHeight="1">
      <c r="A18" s="241">
        <v>46146</v>
      </c>
      <c r="B18" s="38">
        <f t="shared" si="0"/>
        <v>19</v>
      </c>
      <c r="C18" s="242" t="s">
        <v>953</v>
      </c>
      <c r="D18" s="243" t="s">
        <v>74</v>
      </c>
      <c r="E18" s="243" t="s">
        <v>914</v>
      </c>
      <c r="F18" s="243" t="s">
        <v>915</v>
      </c>
      <c r="G18" s="243" t="s">
        <v>916</v>
      </c>
      <c r="H18" s="243" t="s">
        <v>466</v>
      </c>
      <c r="I18" s="243" t="s">
        <v>466</v>
      </c>
      <c r="J18" s="243" t="s">
        <v>31</v>
      </c>
      <c r="K18" s="242" t="s">
        <v>966</v>
      </c>
      <c r="L18" s="244">
        <v>46149</v>
      </c>
      <c r="M18" s="245" t="s">
        <v>967</v>
      </c>
    </row>
    <row r="19" spans="1:13" ht="21.75" customHeight="1">
      <c r="A19" s="228">
        <v>46146</v>
      </c>
      <c r="B19" s="38">
        <f t="shared" si="0"/>
        <v>19</v>
      </c>
      <c r="C19" s="221" t="s">
        <v>477</v>
      </c>
      <c r="D19" s="220" t="s">
        <v>249</v>
      </c>
      <c r="E19" s="220" t="s">
        <v>914</v>
      </c>
      <c r="F19" s="220" t="s">
        <v>915</v>
      </c>
      <c r="G19" s="220" t="s">
        <v>916</v>
      </c>
      <c r="H19" s="220" t="s">
        <v>466</v>
      </c>
      <c r="I19" s="220" t="s">
        <v>466</v>
      </c>
      <c r="J19" s="220" t="s">
        <v>31</v>
      </c>
      <c r="K19" s="221" t="s">
        <v>968</v>
      </c>
      <c r="L19" s="229">
        <v>46149</v>
      </c>
      <c r="M19" s="223" t="s">
        <v>923</v>
      </c>
    </row>
    <row r="20" spans="1:13" ht="21.75" customHeight="1">
      <c r="A20" s="228">
        <v>46146</v>
      </c>
      <c r="B20" s="38">
        <f t="shared" si="0"/>
        <v>19</v>
      </c>
      <c r="C20" s="221" t="s">
        <v>416</v>
      </c>
      <c r="D20" s="220" t="s">
        <v>415</v>
      </c>
      <c r="E20" s="220" t="s">
        <v>924</v>
      </c>
      <c r="F20" s="220" t="s">
        <v>915</v>
      </c>
      <c r="G20" s="220" t="s">
        <v>916</v>
      </c>
      <c r="H20" s="220" t="s">
        <v>30</v>
      </c>
      <c r="I20" s="220" t="s">
        <v>35</v>
      </c>
      <c r="J20" s="220" t="s">
        <v>40</v>
      </c>
      <c r="K20" s="221" t="s">
        <v>969</v>
      </c>
      <c r="L20" s="229">
        <v>46148</v>
      </c>
      <c r="M20" s="223" t="s">
        <v>970</v>
      </c>
    </row>
    <row r="21" spans="1:13" ht="21.75" customHeight="1">
      <c r="A21" s="228">
        <v>46146</v>
      </c>
      <c r="B21" s="38">
        <f t="shared" si="0"/>
        <v>19</v>
      </c>
      <c r="C21" s="221" t="s">
        <v>219</v>
      </c>
      <c r="D21" s="220" t="s">
        <v>66</v>
      </c>
      <c r="E21" s="220" t="s">
        <v>924</v>
      </c>
      <c r="F21" s="220" t="s">
        <v>915</v>
      </c>
      <c r="G21" s="220" t="s">
        <v>916</v>
      </c>
      <c r="H21" s="220" t="s">
        <v>30</v>
      </c>
      <c r="I21" s="220" t="s">
        <v>225</v>
      </c>
      <c r="J21" s="220" t="s">
        <v>31</v>
      </c>
      <c r="K21" s="221" t="s">
        <v>971</v>
      </c>
      <c r="L21" s="229">
        <v>46148</v>
      </c>
      <c r="M21" s="223" t="s">
        <v>972</v>
      </c>
    </row>
    <row r="22" spans="1:13" ht="21.75" customHeight="1">
      <c r="A22" s="228">
        <v>46146</v>
      </c>
      <c r="B22" s="38">
        <f t="shared" si="0"/>
        <v>19</v>
      </c>
      <c r="C22" s="221" t="s">
        <v>973</v>
      </c>
      <c r="D22" s="220" t="s">
        <v>206</v>
      </c>
      <c r="E22" s="220" t="s">
        <v>924</v>
      </c>
      <c r="F22" s="220" t="s">
        <v>915</v>
      </c>
      <c r="G22" s="220" t="s">
        <v>916</v>
      </c>
      <c r="H22" s="220" t="s">
        <v>33</v>
      </c>
      <c r="I22" s="220" t="s">
        <v>41</v>
      </c>
      <c r="J22" s="220" t="s">
        <v>31</v>
      </c>
      <c r="K22" s="221" t="s">
        <v>974</v>
      </c>
      <c r="L22" s="229">
        <v>46149</v>
      </c>
      <c r="M22" s="223" t="s">
        <v>975</v>
      </c>
    </row>
    <row r="23" spans="1:13" ht="21.75" customHeight="1">
      <c r="A23" s="228">
        <v>46146</v>
      </c>
      <c r="B23" s="38">
        <f t="shared" si="0"/>
        <v>19</v>
      </c>
      <c r="C23" s="221" t="s">
        <v>937</v>
      </c>
      <c r="D23" s="220" t="s">
        <v>976</v>
      </c>
      <c r="E23" s="220" t="s">
        <v>934</v>
      </c>
      <c r="F23" s="220" t="s">
        <v>915</v>
      </c>
      <c r="G23" s="220" t="s">
        <v>916</v>
      </c>
      <c r="H23" s="220" t="s">
        <v>33</v>
      </c>
      <c r="I23" s="220" t="s">
        <v>32</v>
      </c>
      <c r="J23" s="220" t="s">
        <v>31</v>
      </c>
      <c r="K23" s="221" t="s">
        <v>977</v>
      </c>
      <c r="L23" s="229">
        <v>46149</v>
      </c>
      <c r="M23" s="223" t="s">
        <v>978</v>
      </c>
    </row>
    <row r="24" spans="1:13" ht="21.75" customHeight="1">
      <c r="A24" s="228">
        <v>46146</v>
      </c>
      <c r="B24" s="38">
        <f t="shared" si="0"/>
        <v>19</v>
      </c>
      <c r="C24" s="221" t="s">
        <v>979</v>
      </c>
      <c r="D24" s="220" t="s">
        <v>62</v>
      </c>
      <c r="E24" s="220" t="s">
        <v>934</v>
      </c>
      <c r="F24" s="220" t="s">
        <v>915</v>
      </c>
      <c r="G24" s="220" t="s">
        <v>916</v>
      </c>
      <c r="H24" s="220" t="s">
        <v>30</v>
      </c>
      <c r="I24" s="220" t="s">
        <v>35</v>
      </c>
      <c r="J24" s="220" t="s">
        <v>42</v>
      </c>
      <c r="K24" s="221" t="s">
        <v>980</v>
      </c>
      <c r="L24" s="229">
        <v>46149</v>
      </c>
      <c r="M24" s="223" t="s">
        <v>981</v>
      </c>
    </row>
    <row r="25" spans="1:13" ht="21.75" customHeight="1">
      <c r="A25" s="228">
        <v>46146</v>
      </c>
      <c r="B25" s="38">
        <f t="shared" si="0"/>
        <v>19</v>
      </c>
      <c r="C25" s="221" t="s">
        <v>490</v>
      </c>
      <c r="D25" s="220" t="s">
        <v>489</v>
      </c>
      <c r="E25" s="220" t="s">
        <v>934</v>
      </c>
      <c r="F25" s="220" t="s">
        <v>915</v>
      </c>
      <c r="G25" s="220" t="s">
        <v>916</v>
      </c>
      <c r="H25" s="220" t="s">
        <v>466</v>
      </c>
      <c r="I25" s="220" t="s">
        <v>466</v>
      </c>
      <c r="J25" s="220" t="s">
        <v>31</v>
      </c>
      <c r="K25" s="221" t="s">
        <v>982</v>
      </c>
      <c r="L25" s="229">
        <v>46153</v>
      </c>
      <c r="M25" s="223" t="s">
        <v>983</v>
      </c>
    </row>
    <row r="26" spans="1:13" ht="21.75" customHeight="1">
      <c r="A26" s="228">
        <v>46146</v>
      </c>
      <c r="B26" s="38">
        <f t="shared" si="0"/>
        <v>19</v>
      </c>
      <c r="C26" s="221" t="s">
        <v>469</v>
      </c>
      <c r="D26" s="220" t="s">
        <v>58</v>
      </c>
      <c r="E26" s="220" t="s">
        <v>942</v>
      </c>
      <c r="F26" s="220" t="s">
        <v>926</v>
      </c>
      <c r="G26" s="220" t="s">
        <v>916</v>
      </c>
      <c r="H26" s="220" t="s">
        <v>30</v>
      </c>
      <c r="I26" s="220" t="s">
        <v>32</v>
      </c>
      <c r="J26" s="220" t="s">
        <v>34</v>
      </c>
      <c r="K26" s="221" t="s">
        <v>984</v>
      </c>
      <c r="L26" s="229">
        <v>46149</v>
      </c>
      <c r="M26" s="223" t="s">
        <v>985</v>
      </c>
    </row>
    <row r="27" spans="1:13" ht="21.75" customHeight="1">
      <c r="A27" s="228">
        <v>46146</v>
      </c>
      <c r="B27" s="38">
        <f t="shared" si="0"/>
        <v>19</v>
      </c>
      <c r="C27" s="221" t="s">
        <v>986</v>
      </c>
      <c r="D27" s="220" t="s">
        <v>472</v>
      </c>
      <c r="E27" s="220" t="s">
        <v>946</v>
      </c>
      <c r="F27" s="220" t="s">
        <v>915</v>
      </c>
      <c r="G27" s="220" t="s">
        <v>916</v>
      </c>
      <c r="H27" s="220" t="s">
        <v>466</v>
      </c>
      <c r="I27" s="220" t="s">
        <v>466</v>
      </c>
      <c r="J27" s="220" t="s">
        <v>31</v>
      </c>
      <c r="K27" s="221" t="s">
        <v>987</v>
      </c>
      <c r="L27" s="229">
        <v>46153</v>
      </c>
      <c r="M27" s="223" t="s">
        <v>988</v>
      </c>
    </row>
    <row r="28" spans="1:13" ht="21.75" customHeight="1">
      <c r="A28" s="228">
        <v>46146</v>
      </c>
      <c r="B28" s="38">
        <f t="shared" si="0"/>
        <v>19</v>
      </c>
      <c r="C28" s="221" t="s">
        <v>989</v>
      </c>
      <c r="D28" s="220"/>
      <c r="E28" s="220" t="s">
        <v>950</v>
      </c>
      <c r="F28" s="220" t="s">
        <v>990</v>
      </c>
      <c r="G28" s="220" t="s">
        <v>991</v>
      </c>
      <c r="H28" s="220" t="s">
        <v>466</v>
      </c>
      <c r="I28" s="220" t="s">
        <v>466</v>
      </c>
      <c r="J28" s="220" t="s">
        <v>34</v>
      </c>
      <c r="K28" s="221" t="s">
        <v>992</v>
      </c>
      <c r="L28" s="229">
        <v>46149</v>
      </c>
      <c r="M28" s="223" t="s">
        <v>993</v>
      </c>
    </row>
    <row r="29" spans="1:13" ht="21.75" customHeight="1">
      <c r="A29" s="228">
        <v>46146</v>
      </c>
      <c r="B29" s="38">
        <f t="shared" si="0"/>
        <v>19</v>
      </c>
      <c r="C29" s="221" t="s">
        <v>994</v>
      </c>
      <c r="D29" s="220" t="s">
        <v>527</v>
      </c>
      <c r="E29" s="220" t="s">
        <v>954</v>
      </c>
      <c r="F29" s="220" t="s">
        <v>915</v>
      </c>
      <c r="G29" s="220" t="s">
        <v>916</v>
      </c>
      <c r="H29" s="220" t="s">
        <v>30</v>
      </c>
      <c r="I29" s="220" t="s">
        <v>225</v>
      </c>
      <c r="J29" s="220" t="s">
        <v>34</v>
      </c>
      <c r="K29" s="221" t="s">
        <v>995</v>
      </c>
      <c r="L29" s="229">
        <v>46149</v>
      </c>
      <c r="M29" s="223" t="s">
        <v>967</v>
      </c>
    </row>
    <row r="30" spans="1:13" ht="21.75" customHeight="1">
      <c r="A30" s="228">
        <v>46146</v>
      </c>
      <c r="B30" s="38">
        <f t="shared" si="0"/>
        <v>19</v>
      </c>
      <c r="C30" s="221" t="s">
        <v>996</v>
      </c>
      <c r="D30" s="220" t="s">
        <v>524</v>
      </c>
      <c r="E30" s="220" t="s">
        <v>954</v>
      </c>
      <c r="F30" s="220" t="s">
        <v>915</v>
      </c>
      <c r="G30" s="220" t="s">
        <v>916</v>
      </c>
      <c r="H30" s="220" t="s">
        <v>30</v>
      </c>
      <c r="I30" s="220" t="s">
        <v>225</v>
      </c>
      <c r="J30" s="220" t="s">
        <v>34</v>
      </c>
      <c r="K30" s="221" t="s">
        <v>997</v>
      </c>
      <c r="L30" s="229">
        <v>46149</v>
      </c>
      <c r="M30" s="223" t="s">
        <v>998</v>
      </c>
    </row>
    <row r="31" spans="1:13" ht="21.75" customHeight="1">
      <c r="A31" s="230">
        <v>46146</v>
      </c>
      <c r="B31" s="38">
        <f t="shared" si="0"/>
        <v>19</v>
      </c>
      <c r="C31" s="226" t="s">
        <v>959</v>
      </c>
      <c r="D31" s="225"/>
      <c r="E31" s="225" t="s">
        <v>960</v>
      </c>
      <c r="F31" s="225" t="s">
        <v>961</v>
      </c>
      <c r="G31" s="225" t="s">
        <v>466</v>
      </c>
      <c r="H31" s="225" t="s">
        <v>466</v>
      </c>
      <c r="I31" s="225" t="s">
        <v>466</v>
      </c>
      <c r="J31" s="225" t="s">
        <v>962</v>
      </c>
      <c r="K31" s="226" t="s">
        <v>963</v>
      </c>
      <c r="L31" s="231"/>
      <c r="M31" s="227"/>
    </row>
    <row r="32" spans="1:13" ht="21.75" customHeight="1">
      <c r="A32" s="246">
        <v>46147</v>
      </c>
      <c r="B32" s="38">
        <f t="shared" si="0"/>
        <v>19</v>
      </c>
      <c r="C32" s="247" t="s">
        <v>921</v>
      </c>
      <c r="D32" s="248" t="s">
        <v>68</v>
      </c>
      <c r="E32" s="248" t="s">
        <v>914</v>
      </c>
      <c r="F32" s="248" t="s">
        <v>915</v>
      </c>
      <c r="G32" s="248" t="s">
        <v>916</v>
      </c>
      <c r="H32" s="248" t="s">
        <v>466</v>
      </c>
      <c r="I32" s="248" t="s">
        <v>466</v>
      </c>
      <c r="J32" s="248" t="s">
        <v>31</v>
      </c>
      <c r="K32" s="247" t="s">
        <v>999</v>
      </c>
      <c r="L32" s="249">
        <v>46149</v>
      </c>
      <c r="M32" s="250" t="s">
        <v>923</v>
      </c>
    </row>
    <row r="33" spans="1:13" ht="21.75" customHeight="1">
      <c r="A33" s="241">
        <v>46147</v>
      </c>
      <c r="B33" s="38">
        <f t="shared" si="0"/>
        <v>19</v>
      </c>
      <c r="C33" s="242" t="s">
        <v>1000</v>
      </c>
      <c r="D33" s="243" t="s">
        <v>569</v>
      </c>
      <c r="E33" s="243" t="s">
        <v>914</v>
      </c>
      <c r="F33" s="243" t="s">
        <v>915</v>
      </c>
      <c r="G33" s="243" t="s">
        <v>916</v>
      </c>
      <c r="H33" s="243" t="s">
        <v>30</v>
      </c>
      <c r="I33" s="243" t="s">
        <v>32</v>
      </c>
      <c r="J33" s="243" t="s">
        <v>42</v>
      </c>
      <c r="K33" s="242" t="s">
        <v>1001</v>
      </c>
      <c r="L33" s="244">
        <v>46152</v>
      </c>
      <c r="M33" s="245" t="s">
        <v>1002</v>
      </c>
    </row>
    <row r="34" spans="1:13" ht="21.75" customHeight="1">
      <c r="A34" s="228">
        <v>46147</v>
      </c>
      <c r="B34" s="38">
        <f t="shared" si="0"/>
        <v>19</v>
      </c>
      <c r="C34" s="221" t="s">
        <v>586</v>
      </c>
      <c r="D34" s="220" t="s">
        <v>933</v>
      </c>
      <c r="E34" s="220" t="s">
        <v>914</v>
      </c>
      <c r="F34" s="220" t="s">
        <v>915</v>
      </c>
      <c r="G34" s="220" t="s">
        <v>916</v>
      </c>
      <c r="H34" s="220" t="s">
        <v>33</v>
      </c>
      <c r="I34" s="220" t="s">
        <v>32</v>
      </c>
      <c r="J34" s="220" t="s">
        <v>31</v>
      </c>
      <c r="K34" s="221" t="s">
        <v>1003</v>
      </c>
      <c r="L34" s="229">
        <v>46152</v>
      </c>
      <c r="M34" s="223" t="s">
        <v>1004</v>
      </c>
    </row>
    <row r="35" spans="1:13" ht="21.75" customHeight="1">
      <c r="A35" s="228">
        <v>46147</v>
      </c>
      <c r="B35" s="38">
        <f t="shared" si="0"/>
        <v>19</v>
      </c>
      <c r="C35" s="221" t="s">
        <v>1005</v>
      </c>
      <c r="D35" s="220" t="s">
        <v>1006</v>
      </c>
      <c r="E35" s="220" t="s">
        <v>924</v>
      </c>
      <c r="F35" s="220" t="s">
        <v>915</v>
      </c>
      <c r="G35" s="220" t="s">
        <v>916</v>
      </c>
      <c r="H35" s="220" t="s">
        <v>33</v>
      </c>
      <c r="I35" s="220" t="s">
        <v>32</v>
      </c>
      <c r="J35" s="220" t="s">
        <v>37</v>
      </c>
      <c r="K35" s="221" t="s">
        <v>1007</v>
      </c>
      <c r="L35" s="229">
        <v>46149</v>
      </c>
      <c r="M35" s="223" t="s">
        <v>1008</v>
      </c>
    </row>
    <row r="36" spans="1:13" ht="21.75" customHeight="1">
      <c r="A36" s="228">
        <v>46147</v>
      </c>
      <c r="B36" s="38">
        <f t="shared" si="0"/>
        <v>19</v>
      </c>
      <c r="C36" s="221" t="s">
        <v>1009</v>
      </c>
      <c r="D36" s="220" t="s">
        <v>1010</v>
      </c>
      <c r="E36" s="220" t="s">
        <v>924</v>
      </c>
      <c r="F36" s="220" t="s">
        <v>915</v>
      </c>
      <c r="G36" s="220" t="s">
        <v>916</v>
      </c>
      <c r="H36" s="220" t="s">
        <v>30</v>
      </c>
      <c r="I36" s="220" t="s">
        <v>32</v>
      </c>
      <c r="J36" s="220" t="s">
        <v>37</v>
      </c>
      <c r="K36" s="221" t="s">
        <v>1011</v>
      </c>
      <c r="L36" s="229">
        <v>46152</v>
      </c>
      <c r="M36" s="223" t="s">
        <v>1012</v>
      </c>
    </row>
    <row r="37" spans="1:13" ht="21.75" customHeight="1">
      <c r="A37" s="228">
        <v>46147</v>
      </c>
      <c r="B37" s="38">
        <f t="shared" si="0"/>
        <v>19</v>
      </c>
      <c r="C37" s="221" t="s">
        <v>953</v>
      </c>
      <c r="D37" s="220" t="s">
        <v>74</v>
      </c>
      <c r="E37" s="220" t="s">
        <v>924</v>
      </c>
      <c r="F37" s="220" t="s">
        <v>915</v>
      </c>
      <c r="G37" s="220" t="s">
        <v>916</v>
      </c>
      <c r="H37" s="220" t="s">
        <v>466</v>
      </c>
      <c r="I37" s="220" t="s">
        <v>466</v>
      </c>
      <c r="J37" s="220" t="s">
        <v>31</v>
      </c>
      <c r="K37" s="221" t="s">
        <v>1013</v>
      </c>
      <c r="L37" s="229">
        <v>46152</v>
      </c>
      <c r="M37" s="223" t="s">
        <v>1014</v>
      </c>
    </row>
    <row r="38" spans="1:13" ht="21.75" customHeight="1">
      <c r="A38" s="228">
        <v>46147</v>
      </c>
      <c r="B38" s="38">
        <f t="shared" si="0"/>
        <v>19</v>
      </c>
      <c r="C38" s="221" t="s">
        <v>1015</v>
      </c>
      <c r="D38" s="220" t="s">
        <v>582</v>
      </c>
      <c r="E38" s="220" t="s">
        <v>934</v>
      </c>
      <c r="F38" s="220" t="s">
        <v>915</v>
      </c>
      <c r="G38" s="220" t="s">
        <v>916</v>
      </c>
      <c r="H38" s="220" t="s">
        <v>30</v>
      </c>
      <c r="I38" s="220" t="s">
        <v>35</v>
      </c>
      <c r="J38" s="220" t="s">
        <v>31</v>
      </c>
      <c r="K38" s="221" t="s">
        <v>1016</v>
      </c>
      <c r="L38" s="229">
        <v>46152</v>
      </c>
      <c r="M38" s="223" t="s">
        <v>1017</v>
      </c>
    </row>
    <row r="39" spans="1:13" ht="21.75" customHeight="1">
      <c r="A39" s="228">
        <v>46147</v>
      </c>
      <c r="B39" s="38">
        <f t="shared" si="0"/>
        <v>19</v>
      </c>
      <c r="C39" s="221" t="s">
        <v>1018</v>
      </c>
      <c r="D39" s="220" t="s">
        <v>60</v>
      </c>
      <c r="E39" s="220" t="s">
        <v>934</v>
      </c>
      <c r="F39" s="220" t="s">
        <v>915</v>
      </c>
      <c r="G39" s="220" t="s">
        <v>916</v>
      </c>
      <c r="H39" s="220" t="s">
        <v>466</v>
      </c>
      <c r="I39" s="220" t="s">
        <v>466</v>
      </c>
      <c r="J39" s="220" t="s">
        <v>31</v>
      </c>
      <c r="K39" s="221" t="s">
        <v>1019</v>
      </c>
      <c r="L39" s="229">
        <v>46152</v>
      </c>
      <c r="M39" s="223" t="s">
        <v>1020</v>
      </c>
    </row>
    <row r="40" spans="1:13" ht="21.75" customHeight="1">
      <c r="A40" s="228">
        <v>46147</v>
      </c>
      <c r="B40" s="38">
        <f t="shared" si="0"/>
        <v>19</v>
      </c>
      <c r="C40" s="221" t="s">
        <v>1021</v>
      </c>
      <c r="D40" s="220" t="s">
        <v>82</v>
      </c>
      <c r="E40" s="220" t="s">
        <v>934</v>
      </c>
      <c r="F40" s="220" t="s">
        <v>915</v>
      </c>
      <c r="G40" s="220" t="s">
        <v>916</v>
      </c>
      <c r="H40" s="220" t="s">
        <v>466</v>
      </c>
      <c r="I40" s="220" t="s">
        <v>466</v>
      </c>
      <c r="J40" s="220" t="s">
        <v>40</v>
      </c>
      <c r="K40" s="221" t="s">
        <v>987</v>
      </c>
      <c r="L40" s="229">
        <v>46154</v>
      </c>
      <c r="M40" s="223" t="s">
        <v>988</v>
      </c>
    </row>
    <row r="41" spans="1:13" ht="21.75" customHeight="1">
      <c r="A41" s="228">
        <v>46147</v>
      </c>
      <c r="B41" s="38">
        <f t="shared" si="0"/>
        <v>19</v>
      </c>
      <c r="C41" s="221" t="s">
        <v>1022</v>
      </c>
      <c r="D41" s="220" t="s">
        <v>64</v>
      </c>
      <c r="E41" s="220" t="s">
        <v>942</v>
      </c>
      <c r="F41" s="220" t="s">
        <v>926</v>
      </c>
      <c r="G41" s="220" t="s">
        <v>916</v>
      </c>
      <c r="H41" s="220" t="s">
        <v>30</v>
      </c>
      <c r="I41" s="220" t="s">
        <v>225</v>
      </c>
      <c r="J41" s="220" t="s">
        <v>31</v>
      </c>
      <c r="K41" s="221" t="s">
        <v>1023</v>
      </c>
      <c r="L41" s="229">
        <v>46152</v>
      </c>
      <c r="M41" s="223" t="s">
        <v>1024</v>
      </c>
    </row>
    <row r="42" spans="1:13" ht="21.75" customHeight="1">
      <c r="A42" s="228">
        <v>46147</v>
      </c>
      <c r="B42" s="38">
        <f t="shared" si="0"/>
        <v>19</v>
      </c>
      <c r="C42" s="221" t="s">
        <v>1025</v>
      </c>
      <c r="D42" s="220" t="s">
        <v>72</v>
      </c>
      <c r="E42" s="220" t="s">
        <v>946</v>
      </c>
      <c r="F42" s="220" t="s">
        <v>926</v>
      </c>
      <c r="G42" s="220" t="s">
        <v>916</v>
      </c>
      <c r="H42" s="220" t="s">
        <v>33</v>
      </c>
      <c r="I42" s="220" t="s">
        <v>32</v>
      </c>
      <c r="J42" s="220" t="s">
        <v>31</v>
      </c>
      <c r="K42" s="221" t="s">
        <v>1026</v>
      </c>
      <c r="L42" s="229">
        <v>46154</v>
      </c>
      <c r="M42" s="223" t="s">
        <v>1027</v>
      </c>
    </row>
    <row r="43" spans="1:13" ht="21.75" customHeight="1">
      <c r="A43" s="228">
        <v>46147</v>
      </c>
      <c r="B43" s="38">
        <f t="shared" si="0"/>
        <v>19</v>
      </c>
      <c r="C43" s="221" t="s">
        <v>1028</v>
      </c>
      <c r="D43" s="220"/>
      <c r="E43" s="220" t="s">
        <v>950</v>
      </c>
      <c r="F43" s="220" t="s">
        <v>990</v>
      </c>
      <c r="G43" s="220" t="s">
        <v>991</v>
      </c>
      <c r="H43" s="220" t="s">
        <v>466</v>
      </c>
      <c r="I43" s="220" t="s">
        <v>466</v>
      </c>
      <c r="J43" s="220" t="s">
        <v>31</v>
      </c>
      <c r="K43" s="221" t="s">
        <v>1029</v>
      </c>
      <c r="L43" s="229">
        <v>46152</v>
      </c>
      <c r="M43" s="223" t="s">
        <v>993</v>
      </c>
    </row>
    <row r="44" spans="1:13" ht="21.75" customHeight="1">
      <c r="A44" s="228">
        <v>46147</v>
      </c>
      <c r="B44" s="38">
        <f t="shared" si="0"/>
        <v>19</v>
      </c>
      <c r="C44" s="221" t="s">
        <v>558</v>
      </c>
      <c r="D44" s="220" t="s">
        <v>83</v>
      </c>
      <c r="E44" s="220" t="s">
        <v>954</v>
      </c>
      <c r="F44" s="220" t="s">
        <v>915</v>
      </c>
      <c r="G44" s="220" t="s">
        <v>916</v>
      </c>
      <c r="H44" s="220" t="s">
        <v>466</v>
      </c>
      <c r="I44" s="220" t="s">
        <v>466</v>
      </c>
      <c r="J44" s="220" t="s">
        <v>31</v>
      </c>
      <c r="K44" s="221" t="s">
        <v>1030</v>
      </c>
      <c r="L44" s="229">
        <v>46154</v>
      </c>
      <c r="M44" s="223" t="s">
        <v>967</v>
      </c>
    </row>
    <row r="45" spans="1:13" ht="21.75" customHeight="1">
      <c r="A45" s="228">
        <v>46147</v>
      </c>
      <c r="B45" s="38">
        <f t="shared" si="0"/>
        <v>19</v>
      </c>
      <c r="C45" s="221" t="s">
        <v>552</v>
      </c>
      <c r="D45" s="220" t="s">
        <v>551</v>
      </c>
      <c r="E45" s="220" t="s">
        <v>954</v>
      </c>
      <c r="F45" s="220" t="s">
        <v>915</v>
      </c>
      <c r="G45" s="220" t="s">
        <v>916</v>
      </c>
      <c r="H45" s="220" t="s">
        <v>466</v>
      </c>
      <c r="I45" s="220" t="s">
        <v>466</v>
      </c>
      <c r="J45" s="220" t="s">
        <v>31</v>
      </c>
      <c r="K45" s="221" t="s">
        <v>1031</v>
      </c>
      <c r="L45" s="229">
        <v>46154</v>
      </c>
      <c r="M45" s="223" t="s">
        <v>1032</v>
      </c>
    </row>
    <row r="46" spans="1:13" ht="21.75" customHeight="1">
      <c r="A46" s="230">
        <v>46147</v>
      </c>
      <c r="B46" s="38">
        <f t="shared" si="0"/>
        <v>19</v>
      </c>
      <c r="C46" s="226" t="s">
        <v>959</v>
      </c>
      <c r="D46" s="225"/>
      <c r="E46" s="225" t="s">
        <v>960</v>
      </c>
      <c r="F46" s="225" t="s">
        <v>961</v>
      </c>
      <c r="G46" s="225" t="s">
        <v>466</v>
      </c>
      <c r="H46" s="225" t="s">
        <v>466</v>
      </c>
      <c r="I46" s="225" t="s">
        <v>466</v>
      </c>
      <c r="J46" s="225" t="s">
        <v>962</v>
      </c>
      <c r="K46" s="226" t="s">
        <v>963</v>
      </c>
      <c r="L46" s="231"/>
      <c r="M46" s="227"/>
    </row>
    <row r="47" spans="1:13" ht="21.75" customHeight="1">
      <c r="A47" s="246">
        <v>46148</v>
      </c>
      <c r="B47" s="38">
        <f t="shared" si="0"/>
        <v>19</v>
      </c>
      <c r="C47" s="247" t="s">
        <v>594</v>
      </c>
      <c r="D47" s="248" t="s">
        <v>78</v>
      </c>
      <c r="E47" s="248" t="s">
        <v>914</v>
      </c>
      <c r="F47" s="248" t="s">
        <v>915</v>
      </c>
      <c r="G47" s="248" t="s">
        <v>916</v>
      </c>
      <c r="H47" s="248" t="s">
        <v>30</v>
      </c>
      <c r="I47" s="248" t="s">
        <v>35</v>
      </c>
      <c r="J47" s="248" t="s">
        <v>34</v>
      </c>
      <c r="K47" s="247" t="s">
        <v>1033</v>
      </c>
      <c r="L47" s="249">
        <v>46152</v>
      </c>
      <c r="M47" s="250" t="s">
        <v>1034</v>
      </c>
    </row>
    <row r="48" spans="1:13" ht="21.75" customHeight="1">
      <c r="A48" s="241">
        <v>46148</v>
      </c>
      <c r="B48" s="38">
        <f t="shared" si="0"/>
        <v>19</v>
      </c>
      <c r="C48" s="242" t="s">
        <v>1035</v>
      </c>
      <c r="D48" s="243" t="s">
        <v>415</v>
      </c>
      <c r="E48" s="243" t="s">
        <v>914</v>
      </c>
      <c r="F48" s="243" t="s">
        <v>915</v>
      </c>
      <c r="G48" s="243" t="s">
        <v>916</v>
      </c>
      <c r="H48" s="243" t="s">
        <v>30</v>
      </c>
      <c r="I48" s="243" t="s">
        <v>35</v>
      </c>
      <c r="J48" s="243" t="s">
        <v>40</v>
      </c>
      <c r="K48" s="242" t="s">
        <v>1036</v>
      </c>
      <c r="L48" s="244">
        <v>46152</v>
      </c>
      <c r="M48" s="245" t="s">
        <v>1037</v>
      </c>
    </row>
    <row r="49" spans="1:13" ht="21.75" customHeight="1">
      <c r="A49" s="228">
        <v>46148</v>
      </c>
      <c r="B49" s="38">
        <f t="shared" si="0"/>
        <v>19</v>
      </c>
      <c r="C49" s="221" t="s">
        <v>219</v>
      </c>
      <c r="D49" s="220" t="s">
        <v>66</v>
      </c>
      <c r="E49" s="220" t="s">
        <v>914</v>
      </c>
      <c r="F49" s="220" t="s">
        <v>915</v>
      </c>
      <c r="G49" s="220" t="s">
        <v>916</v>
      </c>
      <c r="H49" s="220" t="s">
        <v>30</v>
      </c>
      <c r="I49" s="220" t="s">
        <v>225</v>
      </c>
      <c r="J49" s="220" t="s">
        <v>31</v>
      </c>
      <c r="K49" s="221" t="s">
        <v>1038</v>
      </c>
      <c r="L49" s="229">
        <v>46152</v>
      </c>
      <c r="M49" s="223" t="s">
        <v>1039</v>
      </c>
    </row>
    <row r="50" spans="1:13" ht="21.75" customHeight="1">
      <c r="A50" s="228">
        <v>46148</v>
      </c>
      <c r="B50" s="38">
        <f t="shared" si="0"/>
        <v>19</v>
      </c>
      <c r="C50" s="221" t="s">
        <v>1040</v>
      </c>
      <c r="D50" s="220" t="s">
        <v>64</v>
      </c>
      <c r="E50" s="220" t="s">
        <v>924</v>
      </c>
      <c r="F50" s="220" t="s">
        <v>915</v>
      </c>
      <c r="G50" s="220" t="s">
        <v>916</v>
      </c>
      <c r="H50" s="220" t="s">
        <v>30</v>
      </c>
      <c r="I50" s="220" t="s">
        <v>225</v>
      </c>
      <c r="J50" s="220" t="s">
        <v>31</v>
      </c>
      <c r="K50" s="221" t="s">
        <v>1041</v>
      </c>
      <c r="L50" s="229">
        <v>46154</v>
      </c>
      <c r="M50" s="223" t="s">
        <v>1042</v>
      </c>
    </row>
    <row r="51" spans="1:13" ht="21.75" customHeight="1">
      <c r="A51" s="228">
        <v>46148</v>
      </c>
      <c r="B51" s="38">
        <f t="shared" si="0"/>
        <v>19</v>
      </c>
      <c r="C51" s="221" t="s">
        <v>1043</v>
      </c>
      <c r="D51" s="220" t="s">
        <v>976</v>
      </c>
      <c r="E51" s="220" t="s">
        <v>924</v>
      </c>
      <c r="F51" s="220" t="s">
        <v>915</v>
      </c>
      <c r="G51" s="220" t="s">
        <v>916</v>
      </c>
      <c r="H51" s="220" t="s">
        <v>33</v>
      </c>
      <c r="I51" s="220" t="s">
        <v>32</v>
      </c>
      <c r="J51" s="220" t="s">
        <v>31</v>
      </c>
      <c r="K51" s="221" t="s">
        <v>1044</v>
      </c>
      <c r="L51" s="229">
        <v>46154</v>
      </c>
      <c r="M51" s="223" t="s">
        <v>978</v>
      </c>
    </row>
    <row r="52" spans="1:13" ht="21.75" customHeight="1">
      <c r="A52" s="228">
        <v>46148</v>
      </c>
      <c r="B52" s="38">
        <f t="shared" si="0"/>
        <v>19</v>
      </c>
      <c r="C52" s="221" t="s">
        <v>1045</v>
      </c>
      <c r="D52" s="220" t="s">
        <v>206</v>
      </c>
      <c r="E52" s="220" t="s">
        <v>924</v>
      </c>
      <c r="F52" s="220" t="s">
        <v>915</v>
      </c>
      <c r="G52" s="220" t="s">
        <v>916</v>
      </c>
      <c r="H52" s="220" t="s">
        <v>33</v>
      </c>
      <c r="I52" s="220" t="s">
        <v>41</v>
      </c>
      <c r="J52" s="220" t="s">
        <v>31</v>
      </c>
      <c r="K52" s="221" t="s">
        <v>1046</v>
      </c>
      <c r="L52" s="229">
        <v>46154</v>
      </c>
      <c r="M52" s="223" t="s">
        <v>1047</v>
      </c>
    </row>
    <row r="53" spans="1:13" ht="21.75" customHeight="1">
      <c r="A53" s="228">
        <v>46148</v>
      </c>
      <c r="B53" s="38">
        <f t="shared" si="0"/>
        <v>19</v>
      </c>
      <c r="C53" s="221" t="s">
        <v>436</v>
      </c>
      <c r="D53" s="220" t="s">
        <v>956</v>
      </c>
      <c r="E53" s="220" t="s">
        <v>934</v>
      </c>
      <c r="F53" s="220" t="s">
        <v>915</v>
      </c>
      <c r="G53" s="220" t="s">
        <v>916</v>
      </c>
      <c r="H53" s="220" t="s">
        <v>30</v>
      </c>
      <c r="I53" s="220" t="s">
        <v>32</v>
      </c>
      <c r="J53" s="220" t="s">
        <v>42</v>
      </c>
      <c r="K53" s="221" t="s">
        <v>1048</v>
      </c>
      <c r="L53" s="229">
        <v>46154</v>
      </c>
      <c r="M53" s="223" t="s">
        <v>1049</v>
      </c>
    </row>
    <row r="54" spans="1:13" ht="21.75" customHeight="1">
      <c r="A54" s="228">
        <v>46148</v>
      </c>
      <c r="B54" s="38">
        <f t="shared" si="0"/>
        <v>19</v>
      </c>
      <c r="C54" s="221" t="s">
        <v>1050</v>
      </c>
      <c r="D54" s="220" t="s">
        <v>463</v>
      </c>
      <c r="E54" s="220" t="s">
        <v>934</v>
      </c>
      <c r="F54" s="220" t="s">
        <v>915</v>
      </c>
      <c r="G54" s="220" t="s">
        <v>916</v>
      </c>
      <c r="H54" s="220" t="s">
        <v>30</v>
      </c>
      <c r="I54" s="220" t="s">
        <v>225</v>
      </c>
      <c r="J54" s="220" t="s">
        <v>40</v>
      </c>
      <c r="K54" s="221" t="s">
        <v>1051</v>
      </c>
      <c r="L54" s="229">
        <v>46154</v>
      </c>
      <c r="M54" s="223" t="s">
        <v>1052</v>
      </c>
    </row>
    <row r="55" spans="1:13" ht="21.75" customHeight="1">
      <c r="A55" s="228">
        <v>46148</v>
      </c>
      <c r="B55" s="38">
        <f t="shared" si="0"/>
        <v>19</v>
      </c>
      <c r="C55" s="221" t="s">
        <v>1005</v>
      </c>
      <c r="D55" s="220" t="s">
        <v>1006</v>
      </c>
      <c r="E55" s="220" t="s">
        <v>934</v>
      </c>
      <c r="F55" s="220" t="s">
        <v>915</v>
      </c>
      <c r="G55" s="220" t="s">
        <v>916</v>
      </c>
      <c r="H55" s="220" t="s">
        <v>33</v>
      </c>
      <c r="I55" s="220" t="s">
        <v>32</v>
      </c>
      <c r="J55" s="220" t="s">
        <v>37</v>
      </c>
      <c r="K55" s="221" t="s">
        <v>1053</v>
      </c>
      <c r="L55" s="229">
        <v>46154</v>
      </c>
      <c r="M55" s="223" t="s">
        <v>1054</v>
      </c>
    </row>
    <row r="56" spans="1:13" ht="21.75" customHeight="1">
      <c r="A56" s="228">
        <v>46148</v>
      </c>
      <c r="B56" s="38">
        <f t="shared" si="0"/>
        <v>19</v>
      </c>
      <c r="C56" s="221" t="s">
        <v>1055</v>
      </c>
      <c r="D56" s="220" t="s">
        <v>527</v>
      </c>
      <c r="E56" s="220" t="s">
        <v>942</v>
      </c>
      <c r="F56" s="220" t="s">
        <v>926</v>
      </c>
      <c r="G56" s="220" t="s">
        <v>916</v>
      </c>
      <c r="H56" s="220" t="s">
        <v>30</v>
      </c>
      <c r="I56" s="220" t="s">
        <v>225</v>
      </c>
      <c r="J56" s="220" t="s">
        <v>34</v>
      </c>
      <c r="K56" s="221" t="s">
        <v>1056</v>
      </c>
      <c r="L56" s="229">
        <v>46154</v>
      </c>
      <c r="M56" s="223" t="s">
        <v>998</v>
      </c>
    </row>
    <row r="57" spans="1:13" ht="21.75" customHeight="1">
      <c r="A57" s="228">
        <v>46148</v>
      </c>
      <c r="B57" s="38">
        <f t="shared" si="0"/>
        <v>19</v>
      </c>
      <c r="C57" s="221" t="s">
        <v>469</v>
      </c>
      <c r="D57" s="220" t="s">
        <v>58</v>
      </c>
      <c r="E57" s="220" t="s">
        <v>946</v>
      </c>
      <c r="F57" s="220" t="s">
        <v>926</v>
      </c>
      <c r="G57" s="220" t="s">
        <v>916</v>
      </c>
      <c r="H57" s="220" t="s">
        <v>30</v>
      </c>
      <c r="I57" s="220" t="s">
        <v>32</v>
      </c>
      <c r="J57" s="220" t="s">
        <v>34</v>
      </c>
      <c r="K57" s="221" t="s">
        <v>1057</v>
      </c>
      <c r="L57" s="229">
        <v>46154</v>
      </c>
      <c r="M57" s="223" t="s">
        <v>985</v>
      </c>
    </row>
    <row r="58" spans="1:13" ht="21.75" customHeight="1">
      <c r="A58" s="228">
        <v>46148</v>
      </c>
      <c r="B58" s="38">
        <f t="shared" si="0"/>
        <v>19</v>
      </c>
      <c r="C58" s="221" t="s">
        <v>989</v>
      </c>
      <c r="D58" s="220"/>
      <c r="E58" s="220" t="s">
        <v>950</v>
      </c>
      <c r="F58" s="220" t="s">
        <v>990</v>
      </c>
      <c r="G58" s="220" t="s">
        <v>991</v>
      </c>
      <c r="H58" s="220" t="s">
        <v>466</v>
      </c>
      <c r="I58" s="220" t="s">
        <v>466</v>
      </c>
      <c r="J58" s="220" t="s">
        <v>34</v>
      </c>
      <c r="K58" s="221" t="s">
        <v>1058</v>
      </c>
      <c r="L58" s="229">
        <v>46154</v>
      </c>
      <c r="M58" s="223" t="s">
        <v>993</v>
      </c>
    </row>
    <row r="59" spans="1:13" ht="21.75" customHeight="1">
      <c r="A59" s="228">
        <v>46148</v>
      </c>
      <c r="B59" s="38">
        <f t="shared" si="0"/>
        <v>19</v>
      </c>
      <c r="C59" s="221" t="s">
        <v>1059</v>
      </c>
      <c r="D59" s="220" t="s">
        <v>518</v>
      </c>
      <c r="E59" s="220" t="s">
        <v>954</v>
      </c>
      <c r="F59" s="220" t="s">
        <v>915</v>
      </c>
      <c r="G59" s="220" t="s">
        <v>916</v>
      </c>
      <c r="H59" s="220" t="s">
        <v>30</v>
      </c>
      <c r="I59" s="220" t="s">
        <v>225</v>
      </c>
      <c r="J59" s="220" t="s">
        <v>34</v>
      </c>
      <c r="K59" s="221" t="s">
        <v>1060</v>
      </c>
      <c r="L59" s="229">
        <v>46154</v>
      </c>
      <c r="M59" s="223" t="s">
        <v>1061</v>
      </c>
    </row>
    <row r="60" spans="1:13" ht="21.75" customHeight="1">
      <c r="A60" s="228">
        <v>46148</v>
      </c>
      <c r="B60" s="38">
        <f t="shared" si="0"/>
        <v>19</v>
      </c>
      <c r="C60" s="221" t="s">
        <v>1062</v>
      </c>
      <c r="D60" s="220"/>
      <c r="E60" s="220" t="s">
        <v>954</v>
      </c>
      <c r="F60" s="220" t="s">
        <v>915</v>
      </c>
      <c r="G60" s="220" t="s">
        <v>991</v>
      </c>
      <c r="H60" s="220" t="s">
        <v>466</v>
      </c>
      <c r="I60" s="220" t="s">
        <v>466</v>
      </c>
      <c r="J60" s="220" t="s">
        <v>34</v>
      </c>
      <c r="K60" s="221" t="s">
        <v>1063</v>
      </c>
      <c r="L60" s="229">
        <v>46154</v>
      </c>
      <c r="M60" s="223" t="s">
        <v>1064</v>
      </c>
    </row>
    <row r="61" spans="1:13" ht="21.75" customHeight="1">
      <c r="A61" s="230">
        <v>46148</v>
      </c>
      <c r="B61" s="38">
        <f t="shared" si="0"/>
        <v>19</v>
      </c>
      <c r="C61" s="226" t="s">
        <v>959</v>
      </c>
      <c r="D61" s="225"/>
      <c r="E61" s="225" t="s">
        <v>960</v>
      </c>
      <c r="F61" s="225" t="s">
        <v>961</v>
      </c>
      <c r="G61" s="225" t="s">
        <v>466</v>
      </c>
      <c r="H61" s="225" t="s">
        <v>466</v>
      </c>
      <c r="I61" s="225" t="s">
        <v>466</v>
      </c>
      <c r="J61" s="225" t="s">
        <v>962</v>
      </c>
      <c r="K61" s="226" t="s">
        <v>963</v>
      </c>
      <c r="L61" s="231"/>
      <c r="M61" s="227"/>
    </row>
    <row r="62" spans="1:13" ht="21.75" customHeight="1">
      <c r="A62" s="246">
        <v>46149</v>
      </c>
      <c r="B62" s="38">
        <f t="shared" si="0"/>
        <v>19</v>
      </c>
      <c r="C62" s="247" t="s">
        <v>1065</v>
      </c>
      <c r="D62" s="248" t="s">
        <v>68</v>
      </c>
      <c r="E62" s="248" t="s">
        <v>914</v>
      </c>
      <c r="F62" s="248" t="s">
        <v>915</v>
      </c>
      <c r="G62" s="248" t="s">
        <v>916</v>
      </c>
      <c r="H62" s="248" t="s">
        <v>466</v>
      </c>
      <c r="I62" s="248" t="s">
        <v>466</v>
      </c>
      <c r="J62" s="248" t="s">
        <v>31</v>
      </c>
      <c r="K62" s="247" t="s">
        <v>1066</v>
      </c>
      <c r="L62" s="249">
        <v>46154</v>
      </c>
      <c r="M62" s="250" t="s">
        <v>1067</v>
      </c>
    </row>
    <row r="63" spans="1:13" ht="21.75" customHeight="1">
      <c r="A63" s="241">
        <v>46149</v>
      </c>
      <c r="B63" s="38">
        <f t="shared" si="0"/>
        <v>19</v>
      </c>
      <c r="C63" s="242" t="s">
        <v>1043</v>
      </c>
      <c r="D63" s="243" t="s">
        <v>976</v>
      </c>
      <c r="E63" s="243" t="s">
        <v>914</v>
      </c>
      <c r="F63" s="243" t="s">
        <v>915</v>
      </c>
      <c r="G63" s="243" t="s">
        <v>916</v>
      </c>
      <c r="H63" s="243" t="s">
        <v>33</v>
      </c>
      <c r="I63" s="243" t="s">
        <v>32</v>
      </c>
      <c r="J63" s="243" t="s">
        <v>31</v>
      </c>
      <c r="K63" s="242" t="s">
        <v>1068</v>
      </c>
      <c r="L63" s="244">
        <v>46154</v>
      </c>
      <c r="M63" s="245" t="s">
        <v>1069</v>
      </c>
    </row>
    <row r="64" spans="1:13" ht="21.75" customHeight="1">
      <c r="A64" s="228">
        <v>46149</v>
      </c>
      <c r="B64" s="38">
        <f t="shared" si="0"/>
        <v>19</v>
      </c>
      <c r="C64" s="221" t="s">
        <v>1005</v>
      </c>
      <c r="D64" s="220" t="s">
        <v>1006</v>
      </c>
      <c r="E64" s="220" t="s">
        <v>914</v>
      </c>
      <c r="F64" s="220" t="s">
        <v>915</v>
      </c>
      <c r="G64" s="220" t="s">
        <v>916</v>
      </c>
      <c r="H64" s="220" t="s">
        <v>33</v>
      </c>
      <c r="I64" s="220" t="s">
        <v>32</v>
      </c>
      <c r="J64" s="220" t="s">
        <v>37</v>
      </c>
      <c r="K64" s="221" t="s">
        <v>1070</v>
      </c>
      <c r="L64" s="229">
        <v>46156</v>
      </c>
      <c r="M64" s="223" t="s">
        <v>1071</v>
      </c>
    </row>
    <row r="65" spans="1:13" ht="21.75" customHeight="1">
      <c r="A65" s="228">
        <v>46149</v>
      </c>
      <c r="B65" s="38">
        <f t="shared" si="0"/>
        <v>19</v>
      </c>
      <c r="C65" s="221" t="s">
        <v>594</v>
      </c>
      <c r="D65" s="220" t="s">
        <v>78</v>
      </c>
      <c r="E65" s="220" t="s">
        <v>924</v>
      </c>
      <c r="F65" s="220" t="s">
        <v>915</v>
      </c>
      <c r="G65" s="220" t="s">
        <v>916</v>
      </c>
      <c r="H65" s="220" t="s">
        <v>30</v>
      </c>
      <c r="I65" s="220" t="s">
        <v>35</v>
      </c>
      <c r="J65" s="220" t="s">
        <v>34</v>
      </c>
      <c r="K65" s="221" t="s">
        <v>1072</v>
      </c>
      <c r="L65" s="229">
        <v>46152</v>
      </c>
      <c r="M65" s="223" t="s">
        <v>1073</v>
      </c>
    </row>
    <row r="66" spans="1:13" ht="21.75" customHeight="1">
      <c r="A66" s="228">
        <v>46149</v>
      </c>
      <c r="B66" s="38">
        <f t="shared" ref="B66:B129" si="1">WEEKNUM(A66)</f>
        <v>19</v>
      </c>
      <c r="C66" s="221" t="s">
        <v>477</v>
      </c>
      <c r="D66" s="220" t="s">
        <v>249</v>
      </c>
      <c r="E66" s="220" t="s">
        <v>924</v>
      </c>
      <c r="F66" s="220" t="s">
        <v>915</v>
      </c>
      <c r="G66" s="220" t="s">
        <v>916</v>
      </c>
      <c r="H66" s="220" t="s">
        <v>466</v>
      </c>
      <c r="I66" s="220" t="s">
        <v>466</v>
      </c>
      <c r="J66" s="220" t="s">
        <v>31</v>
      </c>
      <c r="K66" s="221" t="s">
        <v>1074</v>
      </c>
      <c r="L66" s="229">
        <v>46156</v>
      </c>
      <c r="M66" s="223" t="s">
        <v>1075</v>
      </c>
    </row>
    <row r="67" spans="1:13" ht="21.75" customHeight="1">
      <c r="A67" s="228">
        <v>46149</v>
      </c>
      <c r="B67" s="38">
        <f t="shared" si="1"/>
        <v>19</v>
      </c>
      <c r="C67" s="221" t="s">
        <v>469</v>
      </c>
      <c r="D67" s="220" t="s">
        <v>58</v>
      </c>
      <c r="E67" s="220" t="s">
        <v>924</v>
      </c>
      <c r="F67" s="220" t="s">
        <v>915</v>
      </c>
      <c r="G67" s="220" t="s">
        <v>916</v>
      </c>
      <c r="H67" s="220" t="s">
        <v>30</v>
      </c>
      <c r="I67" s="220" t="s">
        <v>32</v>
      </c>
      <c r="J67" s="220" t="s">
        <v>34</v>
      </c>
      <c r="K67" s="221" t="s">
        <v>1076</v>
      </c>
      <c r="L67" s="229">
        <v>46156</v>
      </c>
      <c r="M67" s="223" t="s">
        <v>985</v>
      </c>
    </row>
    <row r="68" spans="1:13" ht="21.75" customHeight="1">
      <c r="A68" s="228">
        <v>46149</v>
      </c>
      <c r="B68" s="38">
        <f t="shared" si="1"/>
        <v>19</v>
      </c>
      <c r="C68" s="221" t="s">
        <v>1077</v>
      </c>
      <c r="D68" s="220" t="s">
        <v>524</v>
      </c>
      <c r="E68" s="220" t="s">
        <v>934</v>
      </c>
      <c r="F68" s="220" t="s">
        <v>915</v>
      </c>
      <c r="G68" s="220" t="s">
        <v>916</v>
      </c>
      <c r="H68" s="220" t="s">
        <v>30</v>
      </c>
      <c r="I68" s="220" t="s">
        <v>225</v>
      </c>
      <c r="J68" s="220" t="s">
        <v>34</v>
      </c>
      <c r="K68" s="221" t="s">
        <v>1078</v>
      </c>
      <c r="L68" s="229">
        <v>46156</v>
      </c>
      <c r="M68" s="223" t="s">
        <v>1079</v>
      </c>
    </row>
    <row r="69" spans="1:13" ht="21.75" customHeight="1">
      <c r="A69" s="228">
        <v>46149</v>
      </c>
      <c r="B69" s="38">
        <f t="shared" si="1"/>
        <v>19</v>
      </c>
      <c r="C69" s="221" t="s">
        <v>1080</v>
      </c>
      <c r="D69" s="220" t="s">
        <v>64</v>
      </c>
      <c r="E69" s="220" t="s">
        <v>934</v>
      </c>
      <c r="F69" s="220" t="s">
        <v>915</v>
      </c>
      <c r="G69" s="220" t="s">
        <v>916</v>
      </c>
      <c r="H69" s="220" t="s">
        <v>30</v>
      </c>
      <c r="I69" s="220" t="s">
        <v>225</v>
      </c>
      <c r="J69" s="220" t="s">
        <v>31</v>
      </c>
      <c r="K69" s="221" t="s">
        <v>1081</v>
      </c>
      <c r="L69" s="229">
        <v>46156</v>
      </c>
      <c r="M69" s="223" t="s">
        <v>1082</v>
      </c>
    </row>
    <row r="70" spans="1:13" ht="21.75" customHeight="1">
      <c r="A70" s="228">
        <v>46149</v>
      </c>
      <c r="B70" s="38">
        <f t="shared" si="1"/>
        <v>19</v>
      </c>
      <c r="C70" s="221" t="s">
        <v>1083</v>
      </c>
      <c r="D70" s="220" t="s">
        <v>72</v>
      </c>
      <c r="E70" s="220" t="s">
        <v>934</v>
      </c>
      <c r="F70" s="220" t="s">
        <v>915</v>
      </c>
      <c r="G70" s="220" t="s">
        <v>916</v>
      </c>
      <c r="H70" s="220" t="s">
        <v>30</v>
      </c>
      <c r="I70" s="220" t="s">
        <v>225</v>
      </c>
      <c r="J70" s="220" t="s">
        <v>224</v>
      </c>
      <c r="K70" s="221" t="s">
        <v>1084</v>
      </c>
      <c r="L70" s="229">
        <v>46156</v>
      </c>
      <c r="M70" s="223" t="s">
        <v>1002</v>
      </c>
    </row>
    <row r="71" spans="1:13" ht="21.75" customHeight="1">
      <c r="A71" s="228">
        <v>46149</v>
      </c>
      <c r="B71" s="38">
        <f t="shared" si="1"/>
        <v>19</v>
      </c>
      <c r="C71" s="221" t="s">
        <v>1085</v>
      </c>
      <c r="D71" s="220"/>
      <c r="E71" s="220" t="s">
        <v>942</v>
      </c>
      <c r="F71" s="220" t="s">
        <v>990</v>
      </c>
      <c r="G71" s="220" t="s">
        <v>991</v>
      </c>
      <c r="H71" s="220" t="s">
        <v>466</v>
      </c>
      <c r="I71" s="220" t="s">
        <v>466</v>
      </c>
      <c r="J71" s="220" t="s">
        <v>31</v>
      </c>
      <c r="K71" s="221" t="s">
        <v>1086</v>
      </c>
      <c r="L71" s="229">
        <v>46156</v>
      </c>
      <c r="M71" s="223" t="s">
        <v>1087</v>
      </c>
    </row>
    <row r="72" spans="1:13" ht="21.75" customHeight="1">
      <c r="A72" s="228">
        <v>46149</v>
      </c>
      <c r="B72" s="38">
        <f t="shared" si="1"/>
        <v>19</v>
      </c>
      <c r="C72" s="221" t="s">
        <v>1085</v>
      </c>
      <c r="D72" s="220"/>
      <c r="E72" s="220" t="s">
        <v>946</v>
      </c>
      <c r="F72" s="220" t="s">
        <v>990</v>
      </c>
      <c r="G72" s="220" t="s">
        <v>991</v>
      </c>
      <c r="H72" s="220" t="s">
        <v>466</v>
      </c>
      <c r="I72" s="220" t="s">
        <v>466</v>
      </c>
      <c r="J72" s="220" t="s">
        <v>31</v>
      </c>
      <c r="K72" s="221" t="s">
        <v>1088</v>
      </c>
      <c r="L72" s="229">
        <v>46156</v>
      </c>
      <c r="M72" s="223" t="s">
        <v>1089</v>
      </c>
    </row>
    <row r="73" spans="1:13" ht="21.75" customHeight="1">
      <c r="A73" s="228">
        <v>46149</v>
      </c>
      <c r="B73" s="38">
        <f t="shared" si="1"/>
        <v>19</v>
      </c>
      <c r="C73" s="221" t="s">
        <v>1090</v>
      </c>
      <c r="D73" s="220"/>
      <c r="E73" s="220" t="s">
        <v>950</v>
      </c>
      <c r="F73" s="220" t="s">
        <v>926</v>
      </c>
      <c r="G73" s="220" t="s">
        <v>943</v>
      </c>
      <c r="H73" s="220" t="s">
        <v>466</v>
      </c>
      <c r="I73" s="220" t="s">
        <v>466</v>
      </c>
      <c r="J73" s="220" t="s">
        <v>31</v>
      </c>
      <c r="K73" s="221" t="s">
        <v>1091</v>
      </c>
      <c r="L73" s="229">
        <v>46156</v>
      </c>
      <c r="M73" s="223" t="s">
        <v>1092</v>
      </c>
    </row>
    <row r="74" spans="1:13" ht="21.75" customHeight="1">
      <c r="A74" s="228">
        <v>46149</v>
      </c>
      <c r="B74" s="38">
        <f t="shared" si="1"/>
        <v>19</v>
      </c>
      <c r="C74" s="221" t="s">
        <v>1093</v>
      </c>
      <c r="D74" s="220"/>
      <c r="E74" s="220" t="s">
        <v>954</v>
      </c>
      <c r="F74" s="220" t="s">
        <v>961</v>
      </c>
      <c r="G74" s="220" t="s">
        <v>466</v>
      </c>
      <c r="H74" s="220" t="s">
        <v>466</v>
      </c>
      <c r="I74" s="220" t="s">
        <v>466</v>
      </c>
      <c r="J74" s="220" t="s">
        <v>962</v>
      </c>
      <c r="K74" s="221" t="s">
        <v>1094</v>
      </c>
      <c r="L74" s="229"/>
      <c r="M74" s="223"/>
    </row>
    <row r="75" spans="1:13" ht="21.75" customHeight="1">
      <c r="A75" s="230">
        <v>46149</v>
      </c>
      <c r="B75" s="38">
        <f t="shared" si="1"/>
        <v>19</v>
      </c>
      <c r="C75" s="226" t="s">
        <v>1095</v>
      </c>
      <c r="D75" s="225"/>
      <c r="E75" s="225" t="s">
        <v>960</v>
      </c>
      <c r="F75" s="225" t="s">
        <v>961</v>
      </c>
      <c r="G75" s="225" t="s">
        <v>466</v>
      </c>
      <c r="H75" s="225" t="s">
        <v>466</v>
      </c>
      <c r="I75" s="225" t="s">
        <v>466</v>
      </c>
      <c r="J75" s="225" t="s">
        <v>962</v>
      </c>
      <c r="K75" s="226" t="s">
        <v>1096</v>
      </c>
      <c r="L75" s="231"/>
      <c r="M75" s="227"/>
    </row>
    <row r="76" spans="1:13" ht="21.75" customHeight="1">
      <c r="A76" s="251">
        <v>46151</v>
      </c>
      <c r="B76" s="38">
        <f t="shared" si="1"/>
        <v>19</v>
      </c>
      <c r="C76" s="252" t="s">
        <v>594</v>
      </c>
      <c r="D76" s="252" t="s">
        <v>78</v>
      </c>
      <c r="E76" s="253" t="s">
        <v>914</v>
      </c>
      <c r="F76" s="253" t="s">
        <v>915</v>
      </c>
      <c r="G76" s="252" t="s">
        <v>916</v>
      </c>
      <c r="H76" s="252" t="s">
        <v>30</v>
      </c>
      <c r="I76" s="252" t="s">
        <v>35</v>
      </c>
      <c r="J76" s="252" t="s">
        <v>34</v>
      </c>
      <c r="K76" s="253" t="s">
        <v>1097</v>
      </c>
      <c r="L76" s="254">
        <v>46154</v>
      </c>
      <c r="M76" s="252" t="s">
        <v>1073</v>
      </c>
    </row>
    <row r="77" spans="1:13" ht="21.75" customHeight="1">
      <c r="A77" s="239">
        <v>46151</v>
      </c>
      <c r="B77" s="38">
        <f t="shared" si="1"/>
        <v>19</v>
      </c>
      <c r="C77" s="233" t="s">
        <v>937</v>
      </c>
      <c r="D77" s="233" t="s">
        <v>976</v>
      </c>
      <c r="E77" s="240" t="s">
        <v>914</v>
      </c>
      <c r="F77" s="240" t="s">
        <v>915</v>
      </c>
      <c r="G77" s="233" t="s">
        <v>916</v>
      </c>
      <c r="H77" s="233" t="s">
        <v>33</v>
      </c>
      <c r="I77" s="233" t="s">
        <v>32</v>
      </c>
      <c r="J77" s="233" t="s">
        <v>31</v>
      </c>
      <c r="K77" s="240" t="s">
        <v>1098</v>
      </c>
      <c r="L77" s="232">
        <v>46154</v>
      </c>
      <c r="M77" s="233" t="s">
        <v>978</v>
      </c>
    </row>
    <row r="78" spans="1:13" ht="21.75" customHeight="1">
      <c r="A78" s="239">
        <v>46151</v>
      </c>
      <c r="B78" s="38">
        <f t="shared" si="1"/>
        <v>19</v>
      </c>
      <c r="C78" s="233" t="s">
        <v>219</v>
      </c>
      <c r="D78" s="233" t="s">
        <v>66</v>
      </c>
      <c r="E78" s="240" t="s">
        <v>914</v>
      </c>
      <c r="F78" s="240" t="s">
        <v>915</v>
      </c>
      <c r="G78" s="233" t="s">
        <v>916</v>
      </c>
      <c r="H78" s="233" t="s">
        <v>30</v>
      </c>
      <c r="I78" s="233" t="s">
        <v>225</v>
      </c>
      <c r="J78" s="233" t="s">
        <v>31</v>
      </c>
      <c r="K78" s="240" t="s">
        <v>1099</v>
      </c>
      <c r="L78" s="232">
        <v>46154</v>
      </c>
      <c r="M78" s="233" t="s">
        <v>1100</v>
      </c>
    </row>
    <row r="79" spans="1:13" ht="21.75" customHeight="1">
      <c r="A79" s="239">
        <v>46151</v>
      </c>
      <c r="B79" s="38">
        <f t="shared" si="1"/>
        <v>19</v>
      </c>
      <c r="C79" s="233" t="s">
        <v>1045</v>
      </c>
      <c r="D79" s="233" t="s">
        <v>206</v>
      </c>
      <c r="E79" s="240" t="s">
        <v>924</v>
      </c>
      <c r="F79" s="240" t="s">
        <v>915</v>
      </c>
      <c r="G79" s="233" t="s">
        <v>916</v>
      </c>
      <c r="H79" s="233" t="s">
        <v>33</v>
      </c>
      <c r="I79" s="233" t="s">
        <v>41</v>
      </c>
      <c r="J79" s="233" t="s">
        <v>31</v>
      </c>
      <c r="K79" s="240" t="s">
        <v>1101</v>
      </c>
      <c r="L79" s="232">
        <v>46154</v>
      </c>
      <c r="M79" s="233" t="s">
        <v>1102</v>
      </c>
    </row>
    <row r="80" spans="1:13" ht="21.75" customHeight="1">
      <c r="A80" s="239">
        <v>46151</v>
      </c>
      <c r="B80" s="38">
        <f t="shared" si="1"/>
        <v>19</v>
      </c>
      <c r="C80" s="233" t="s">
        <v>436</v>
      </c>
      <c r="D80" s="233" t="s">
        <v>956</v>
      </c>
      <c r="E80" s="240" t="s">
        <v>924</v>
      </c>
      <c r="F80" s="240" t="s">
        <v>915</v>
      </c>
      <c r="G80" s="233" t="s">
        <v>916</v>
      </c>
      <c r="H80" s="233" t="s">
        <v>30</v>
      </c>
      <c r="I80" s="233" t="s">
        <v>32</v>
      </c>
      <c r="J80" s="233" t="s">
        <v>42</v>
      </c>
      <c r="K80" s="240" t="s">
        <v>1103</v>
      </c>
      <c r="L80" s="232">
        <v>46154</v>
      </c>
      <c r="M80" s="233" t="s">
        <v>1104</v>
      </c>
    </row>
    <row r="81" spans="1:13" ht="21.75" customHeight="1">
      <c r="A81" s="239">
        <v>46151</v>
      </c>
      <c r="B81" s="38">
        <f t="shared" si="1"/>
        <v>19</v>
      </c>
      <c r="C81" s="233" t="s">
        <v>1005</v>
      </c>
      <c r="D81" s="233" t="s">
        <v>1006</v>
      </c>
      <c r="E81" s="240" t="s">
        <v>924</v>
      </c>
      <c r="F81" s="240" t="s">
        <v>915</v>
      </c>
      <c r="G81" s="233" t="s">
        <v>916</v>
      </c>
      <c r="H81" s="233" t="s">
        <v>33</v>
      </c>
      <c r="I81" s="233" t="s">
        <v>32</v>
      </c>
      <c r="J81" s="233" t="s">
        <v>37</v>
      </c>
      <c r="K81" s="240" t="s">
        <v>1105</v>
      </c>
      <c r="L81" s="232">
        <v>46154</v>
      </c>
      <c r="M81" s="233" t="s">
        <v>1106</v>
      </c>
    </row>
    <row r="82" spans="1:13" ht="21.75" customHeight="1">
      <c r="A82" s="239">
        <v>46151</v>
      </c>
      <c r="B82" s="38">
        <f t="shared" si="1"/>
        <v>19</v>
      </c>
      <c r="C82" s="233" t="s">
        <v>1107</v>
      </c>
      <c r="D82" s="233" t="s">
        <v>64</v>
      </c>
      <c r="E82" s="240" t="s">
        <v>934</v>
      </c>
      <c r="F82" s="240" t="s">
        <v>915</v>
      </c>
      <c r="G82" s="233" t="s">
        <v>916</v>
      </c>
      <c r="H82" s="233" t="s">
        <v>30</v>
      </c>
      <c r="I82" s="233" t="s">
        <v>225</v>
      </c>
      <c r="J82" s="233" t="s">
        <v>31</v>
      </c>
      <c r="K82" s="240" t="s">
        <v>1108</v>
      </c>
      <c r="L82" s="232">
        <v>46153</v>
      </c>
      <c r="M82" s="233" t="s">
        <v>1075</v>
      </c>
    </row>
    <row r="83" spans="1:13" ht="21.75" customHeight="1">
      <c r="A83" s="239">
        <v>46151</v>
      </c>
      <c r="B83" s="38">
        <f t="shared" si="1"/>
        <v>19</v>
      </c>
      <c r="C83" s="233" t="s">
        <v>1083</v>
      </c>
      <c r="D83" s="233" t="s">
        <v>72</v>
      </c>
      <c r="E83" s="240" t="s">
        <v>934</v>
      </c>
      <c r="F83" s="240" t="s">
        <v>915</v>
      </c>
      <c r="G83" s="233" t="s">
        <v>916</v>
      </c>
      <c r="H83" s="233" t="s">
        <v>30</v>
      </c>
      <c r="I83" s="233" t="s">
        <v>225</v>
      </c>
      <c r="J83" s="233" t="s">
        <v>224</v>
      </c>
      <c r="K83" s="240" t="s">
        <v>1109</v>
      </c>
      <c r="L83" s="232">
        <v>46156</v>
      </c>
      <c r="M83" s="233" t="s">
        <v>1002</v>
      </c>
    </row>
    <row r="84" spans="1:13" ht="21.75" customHeight="1">
      <c r="A84" s="239">
        <v>46151</v>
      </c>
      <c r="B84" s="38">
        <f t="shared" si="1"/>
        <v>19</v>
      </c>
      <c r="C84" s="233" t="s">
        <v>1110</v>
      </c>
      <c r="D84" s="233" t="s">
        <v>415</v>
      </c>
      <c r="E84" s="240" t="s">
        <v>934</v>
      </c>
      <c r="F84" s="240" t="s">
        <v>915</v>
      </c>
      <c r="G84" s="233" t="s">
        <v>916</v>
      </c>
      <c r="H84" s="233" t="s">
        <v>30</v>
      </c>
      <c r="I84" s="233" t="s">
        <v>39</v>
      </c>
      <c r="J84" s="233" t="s">
        <v>40</v>
      </c>
      <c r="K84" s="240" t="s">
        <v>1111</v>
      </c>
      <c r="L84" s="232">
        <v>46156</v>
      </c>
      <c r="M84" s="233" t="s">
        <v>1112</v>
      </c>
    </row>
    <row r="85" spans="1:13" ht="21.75" customHeight="1">
      <c r="A85" s="239">
        <v>46151</v>
      </c>
      <c r="B85" s="38">
        <f t="shared" si="1"/>
        <v>19</v>
      </c>
      <c r="C85" s="233" t="s">
        <v>469</v>
      </c>
      <c r="D85" s="233" t="s">
        <v>58</v>
      </c>
      <c r="E85" s="240" t="s">
        <v>942</v>
      </c>
      <c r="F85" s="240" t="s">
        <v>926</v>
      </c>
      <c r="G85" s="233" t="s">
        <v>916</v>
      </c>
      <c r="H85" s="233" t="s">
        <v>30</v>
      </c>
      <c r="I85" s="233" t="s">
        <v>32</v>
      </c>
      <c r="J85" s="233" t="s">
        <v>34</v>
      </c>
      <c r="K85" s="240" t="s">
        <v>1113</v>
      </c>
      <c r="L85" s="232">
        <v>46156</v>
      </c>
      <c r="M85" s="233" t="s">
        <v>985</v>
      </c>
    </row>
    <row r="86" spans="1:13" ht="21.75" customHeight="1">
      <c r="A86" s="239">
        <v>46151</v>
      </c>
      <c r="B86" s="38">
        <f t="shared" si="1"/>
        <v>19</v>
      </c>
      <c r="C86" s="233" t="s">
        <v>1114</v>
      </c>
      <c r="D86" s="233"/>
      <c r="E86" s="240" t="s">
        <v>946</v>
      </c>
      <c r="F86" s="240" t="s">
        <v>990</v>
      </c>
      <c r="G86" s="233" t="s">
        <v>991</v>
      </c>
      <c r="H86" s="233" t="s">
        <v>466</v>
      </c>
      <c r="I86" s="233" t="s">
        <v>466</v>
      </c>
      <c r="J86" s="233" t="s">
        <v>34</v>
      </c>
      <c r="K86" s="240" t="s">
        <v>1058</v>
      </c>
      <c r="L86" s="232">
        <v>46156</v>
      </c>
      <c r="M86" s="233" t="s">
        <v>993</v>
      </c>
    </row>
    <row r="87" spans="1:13" ht="21.75" customHeight="1">
      <c r="A87" s="239">
        <v>46151</v>
      </c>
      <c r="B87" s="38">
        <f t="shared" si="1"/>
        <v>19</v>
      </c>
      <c r="C87" s="233" t="s">
        <v>477</v>
      </c>
      <c r="D87" s="233" t="s">
        <v>249</v>
      </c>
      <c r="E87" s="240" t="s">
        <v>954</v>
      </c>
      <c r="F87" s="240" t="s">
        <v>915</v>
      </c>
      <c r="G87" s="233" t="s">
        <v>916</v>
      </c>
      <c r="H87" s="233" t="s">
        <v>466</v>
      </c>
      <c r="I87" s="233" t="s">
        <v>466</v>
      </c>
      <c r="J87" s="233" t="s">
        <v>31</v>
      </c>
      <c r="K87" s="240" t="s">
        <v>1115</v>
      </c>
      <c r="L87" s="232">
        <v>46154</v>
      </c>
      <c r="M87" s="233" t="s">
        <v>1075</v>
      </c>
    </row>
    <row r="88" spans="1:13" ht="21.75" customHeight="1">
      <c r="A88" s="239">
        <v>46151</v>
      </c>
      <c r="B88" s="38">
        <f t="shared" si="1"/>
        <v>19</v>
      </c>
      <c r="C88" s="233" t="s">
        <v>959</v>
      </c>
      <c r="D88" s="233"/>
      <c r="E88" s="240" t="s">
        <v>960</v>
      </c>
      <c r="F88" s="240" t="s">
        <v>961</v>
      </c>
      <c r="G88" s="233" t="s">
        <v>466</v>
      </c>
      <c r="H88" s="233" t="s">
        <v>466</v>
      </c>
      <c r="I88" s="233" t="s">
        <v>466</v>
      </c>
      <c r="J88" s="233" t="s">
        <v>962</v>
      </c>
      <c r="K88" s="240" t="s">
        <v>1116</v>
      </c>
      <c r="L88" s="233"/>
      <c r="M88" s="233"/>
    </row>
    <row r="89" spans="1:13" ht="21.75" customHeight="1">
      <c r="A89" s="251">
        <v>46152</v>
      </c>
      <c r="B89" s="38">
        <f t="shared" si="1"/>
        <v>20</v>
      </c>
      <c r="C89" s="252" t="s">
        <v>594</v>
      </c>
      <c r="D89" s="252" t="s">
        <v>78</v>
      </c>
      <c r="E89" s="253" t="s">
        <v>914</v>
      </c>
      <c r="F89" s="253" t="s">
        <v>915</v>
      </c>
      <c r="G89" s="252" t="s">
        <v>916</v>
      </c>
      <c r="H89" s="252" t="s">
        <v>30</v>
      </c>
      <c r="I89" s="252" t="s">
        <v>35</v>
      </c>
      <c r="J89" s="252" t="s">
        <v>34</v>
      </c>
      <c r="K89" s="253" t="s">
        <v>1117</v>
      </c>
      <c r="L89" s="252">
        <v>46154</v>
      </c>
      <c r="M89" s="252" t="s">
        <v>1118</v>
      </c>
    </row>
    <row r="90" spans="1:13" ht="21.75" customHeight="1">
      <c r="A90" s="239">
        <v>46152</v>
      </c>
      <c r="B90" s="38">
        <f t="shared" si="1"/>
        <v>20</v>
      </c>
      <c r="C90" s="233" t="s">
        <v>219</v>
      </c>
      <c r="D90" s="233" t="s">
        <v>66</v>
      </c>
      <c r="E90" s="240" t="s">
        <v>914</v>
      </c>
      <c r="F90" s="240" t="s">
        <v>915</v>
      </c>
      <c r="G90" s="233" t="s">
        <v>916</v>
      </c>
      <c r="H90" s="233" t="s">
        <v>30</v>
      </c>
      <c r="I90" s="233" t="s">
        <v>225</v>
      </c>
      <c r="J90" s="233" t="s">
        <v>31</v>
      </c>
      <c r="K90" s="240" t="s">
        <v>1119</v>
      </c>
      <c r="L90" s="233">
        <v>46154</v>
      </c>
      <c r="M90" s="233" t="s">
        <v>1039</v>
      </c>
    </row>
    <row r="91" spans="1:13" ht="21.75" customHeight="1">
      <c r="A91" s="239">
        <v>46152</v>
      </c>
      <c r="B91" s="38">
        <f t="shared" si="1"/>
        <v>20</v>
      </c>
      <c r="C91" s="233" t="s">
        <v>937</v>
      </c>
      <c r="D91" s="233" t="s">
        <v>976</v>
      </c>
      <c r="E91" s="240" t="s">
        <v>914</v>
      </c>
      <c r="F91" s="240" t="s">
        <v>915</v>
      </c>
      <c r="G91" s="233" t="s">
        <v>916</v>
      </c>
      <c r="H91" s="233" t="s">
        <v>33</v>
      </c>
      <c r="I91" s="233" t="s">
        <v>32</v>
      </c>
      <c r="J91" s="233" t="s">
        <v>31</v>
      </c>
      <c r="K91" s="240" t="s">
        <v>1120</v>
      </c>
      <c r="L91" s="233">
        <v>46156</v>
      </c>
      <c r="M91" s="233" t="s">
        <v>978</v>
      </c>
    </row>
    <row r="92" spans="1:13" ht="21.75" customHeight="1">
      <c r="A92" s="239">
        <v>46152</v>
      </c>
      <c r="B92" s="38">
        <f t="shared" si="1"/>
        <v>20</v>
      </c>
      <c r="C92" s="233" t="s">
        <v>1121</v>
      </c>
      <c r="D92" s="233" t="s">
        <v>956</v>
      </c>
      <c r="E92" s="240" t="s">
        <v>924</v>
      </c>
      <c r="F92" s="240" t="s">
        <v>915</v>
      </c>
      <c r="G92" s="233" t="s">
        <v>916</v>
      </c>
      <c r="H92" s="233" t="s">
        <v>30</v>
      </c>
      <c r="I92" s="233" t="s">
        <v>32</v>
      </c>
      <c r="J92" s="233" t="s">
        <v>42</v>
      </c>
      <c r="K92" s="240" t="s">
        <v>1122</v>
      </c>
      <c r="L92" s="233">
        <v>46156</v>
      </c>
      <c r="M92" s="233" t="s">
        <v>1049</v>
      </c>
    </row>
    <row r="93" spans="1:13" ht="21.75" customHeight="1">
      <c r="A93" s="239">
        <v>46152</v>
      </c>
      <c r="B93" s="38">
        <f t="shared" si="1"/>
        <v>20</v>
      </c>
      <c r="C93" s="233" t="s">
        <v>1005</v>
      </c>
      <c r="D93" s="233" t="s">
        <v>1006</v>
      </c>
      <c r="E93" s="240" t="s">
        <v>924</v>
      </c>
      <c r="F93" s="240" t="s">
        <v>915</v>
      </c>
      <c r="G93" s="233" t="s">
        <v>916</v>
      </c>
      <c r="H93" s="233" t="s">
        <v>33</v>
      </c>
      <c r="I93" s="233" t="s">
        <v>32</v>
      </c>
      <c r="J93" s="233" t="s">
        <v>37</v>
      </c>
      <c r="K93" s="240" t="s">
        <v>1123</v>
      </c>
      <c r="L93" s="233">
        <v>46156</v>
      </c>
      <c r="M93" s="233" t="s">
        <v>1106</v>
      </c>
    </row>
    <row r="94" spans="1:13" ht="21.75" customHeight="1">
      <c r="A94" s="239">
        <v>46152</v>
      </c>
      <c r="B94" s="38">
        <f t="shared" si="1"/>
        <v>20</v>
      </c>
      <c r="C94" s="233" t="s">
        <v>1083</v>
      </c>
      <c r="D94" s="233" t="s">
        <v>72</v>
      </c>
      <c r="E94" s="240" t="s">
        <v>924</v>
      </c>
      <c r="F94" s="240" t="s">
        <v>915</v>
      </c>
      <c r="G94" s="233" t="s">
        <v>916</v>
      </c>
      <c r="H94" s="233" t="s">
        <v>30</v>
      </c>
      <c r="I94" s="233" t="s">
        <v>225</v>
      </c>
      <c r="J94" s="233" t="s">
        <v>224</v>
      </c>
      <c r="K94" s="240" t="s">
        <v>1084</v>
      </c>
      <c r="L94" s="233">
        <v>46159</v>
      </c>
      <c r="M94" s="233" t="s">
        <v>1002</v>
      </c>
    </row>
    <row r="95" spans="1:13" ht="21.75" customHeight="1">
      <c r="A95" s="239">
        <v>46152</v>
      </c>
      <c r="B95" s="38">
        <f t="shared" si="1"/>
        <v>20</v>
      </c>
      <c r="C95" s="233" t="s">
        <v>1124</v>
      </c>
      <c r="D95" s="233" t="s">
        <v>70</v>
      </c>
      <c r="E95" s="240" t="s">
        <v>934</v>
      </c>
      <c r="F95" s="240" t="s">
        <v>915</v>
      </c>
      <c r="G95" s="233" t="s">
        <v>916</v>
      </c>
      <c r="H95" s="233" t="s">
        <v>30</v>
      </c>
      <c r="I95" s="233" t="s">
        <v>32</v>
      </c>
      <c r="J95" s="233" t="s">
        <v>34</v>
      </c>
      <c r="K95" s="240" t="s">
        <v>1011</v>
      </c>
      <c r="L95" s="233">
        <v>46156</v>
      </c>
      <c r="M95" s="233" t="s">
        <v>1012</v>
      </c>
    </row>
    <row r="96" spans="1:13" ht="21.75" customHeight="1">
      <c r="A96" s="239">
        <v>46152</v>
      </c>
      <c r="B96" s="38">
        <f t="shared" si="1"/>
        <v>20</v>
      </c>
      <c r="C96" s="233" t="s">
        <v>1125</v>
      </c>
      <c r="D96" s="233" t="s">
        <v>232</v>
      </c>
      <c r="E96" s="240" t="s">
        <v>934</v>
      </c>
      <c r="F96" s="240" t="s">
        <v>915</v>
      </c>
      <c r="G96" s="233" t="s">
        <v>916</v>
      </c>
      <c r="H96" s="233" t="s">
        <v>30</v>
      </c>
      <c r="I96" s="233" t="s">
        <v>32</v>
      </c>
      <c r="J96" s="233" t="s">
        <v>31</v>
      </c>
      <c r="K96" s="240" t="s">
        <v>1126</v>
      </c>
      <c r="L96" s="233">
        <v>46156</v>
      </c>
      <c r="M96" s="233" t="s">
        <v>1017</v>
      </c>
    </row>
    <row r="97" spans="1:13" ht="21.75" customHeight="1">
      <c r="A97" s="239">
        <v>46152</v>
      </c>
      <c r="B97" s="38">
        <f t="shared" si="1"/>
        <v>20</v>
      </c>
      <c r="C97" s="233" t="s">
        <v>1127</v>
      </c>
      <c r="D97" s="233" t="s">
        <v>509</v>
      </c>
      <c r="E97" s="240" t="s">
        <v>934</v>
      </c>
      <c r="F97" s="240" t="s">
        <v>915</v>
      </c>
      <c r="G97" s="233" t="s">
        <v>916</v>
      </c>
      <c r="H97" s="233" t="s">
        <v>30</v>
      </c>
      <c r="I97" s="233" t="s">
        <v>32</v>
      </c>
      <c r="J97" s="233" t="s">
        <v>31</v>
      </c>
      <c r="K97" s="240" t="s">
        <v>1128</v>
      </c>
      <c r="L97" s="233">
        <v>46154</v>
      </c>
      <c r="M97" s="233" t="s">
        <v>1129</v>
      </c>
    </row>
    <row r="98" spans="1:13" ht="21.75" customHeight="1">
      <c r="A98" s="239">
        <v>46152</v>
      </c>
      <c r="B98" s="38">
        <f t="shared" si="1"/>
        <v>20</v>
      </c>
      <c r="C98" s="233" t="s">
        <v>535</v>
      </c>
      <c r="D98" s="233" t="s">
        <v>76</v>
      </c>
      <c r="E98" s="240" t="s">
        <v>942</v>
      </c>
      <c r="F98" s="240" t="s">
        <v>926</v>
      </c>
      <c r="G98" s="233" t="s">
        <v>916</v>
      </c>
      <c r="H98" s="233" t="s">
        <v>466</v>
      </c>
      <c r="I98" s="233" t="s">
        <v>466</v>
      </c>
      <c r="J98" s="233" t="s">
        <v>31</v>
      </c>
      <c r="K98" s="240" t="s">
        <v>1130</v>
      </c>
      <c r="L98" s="233">
        <v>46159</v>
      </c>
      <c r="M98" s="233" t="s">
        <v>1131</v>
      </c>
    </row>
    <row r="99" spans="1:13" ht="21.75" customHeight="1">
      <c r="A99" s="239">
        <v>46152</v>
      </c>
      <c r="B99" s="38">
        <f t="shared" si="1"/>
        <v>20</v>
      </c>
      <c r="C99" s="233" t="s">
        <v>1080</v>
      </c>
      <c r="D99" s="233" t="s">
        <v>64</v>
      </c>
      <c r="E99" s="240" t="s">
        <v>946</v>
      </c>
      <c r="F99" s="240" t="s">
        <v>926</v>
      </c>
      <c r="G99" s="233" t="s">
        <v>916</v>
      </c>
      <c r="H99" s="233" t="s">
        <v>30</v>
      </c>
      <c r="I99" s="233" t="s">
        <v>225</v>
      </c>
      <c r="J99" s="233" t="s">
        <v>31</v>
      </c>
      <c r="K99" s="240" t="s">
        <v>1132</v>
      </c>
      <c r="L99" s="233">
        <v>46156</v>
      </c>
      <c r="M99" s="233" t="s">
        <v>1042</v>
      </c>
    </row>
    <row r="100" spans="1:13" ht="21.75" customHeight="1">
      <c r="A100" s="239">
        <v>46152</v>
      </c>
      <c r="B100" s="38">
        <f t="shared" si="1"/>
        <v>20</v>
      </c>
      <c r="C100" s="233" t="s">
        <v>240</v>
      </c>
      <c r="D100" s="233" t="s">
        <v>241</v>
      </c>
      <c r="E100" s="240" t="s">
        <v>954</v>
      </c>
      <c r="F100" s="240" t="s">
        <v>915</v>
      </c>
      <c r="G100" s="233" t="s">
        <v>916</v>
      </c>
      <c r="H100" s="233" t="s">
        <v>30</v>
      </c>
      <c r="I100" s="233" t="s">
        <v>32</v>
      </c>
      <c r="J100" s="233" t="s">
        <v>40</v>
      </c>
      <c r="K100" s="240" t="s">
        <v>1133</v>
      </c>
      <c r="L100" s="233">
        <v>46154</v>
      </c>
      <c r="M100" s="233" t="s">
        <v>1102</v>
      </c>
    </row>
    <row r="101" spans="1:13" ht="21.75" customHeight="1">
      <c r="A101" s="239">
        <v>46152</v>
      </c>
      <c r="B101" s="38">
        <f t="shared" si="1"/>
        <v>20</v>
      </c>
      <c r="C101" s="233" t="s">
        <v>477</v>
      </c>
      <c r="D101" s="233" t="s">
        <v>249</v>
      </c>
      <c r="E101" s="240" t="s">
        <v>954</v>
      </c>
      <c r="F101" s="240" t="s">
        <v>915</v>
      </c>
      <c r="G101" s="233" t="s">
        <v>916</v>
      </c>
      <c r="H101" s="233" t="s">
        <v>466</v>
      </c>
      <c r="I101" s="233" t="s">
        <v>466</v>
      </c>
      <c r="J101" s="233" t="s">
        <v>31</v>
      </c>
      <c r="K101" s="240" t="s">
        <v>1115</v>
      </c>
      <c r="L101" s="233">
        <v>46156</v>
      </c>
      <c r="M101" s="233" t="s">
        <v>1075</v>
      </c>
    </row>
    <row r="102" spans="1:13" ht="21.75" customHeight="1">
      <c r="A102" s="239">
        <v>46152</v>
      </c>
      <c r="B102" s="38">
        <f t="shared" si="1"/>
        <v>20</v>
      </c>
      <c r="C102" s="233" t="s">
        <v>959</v>
      </c>
      <c r="D102" s="233"/>
      <c r="E102" s="240" t="s">
        <v>960</v>
      </c>
      <c r="F102" s="240" t="s">
        <v>961</v>
      </c>
      <c r="G102" s="233" t="s">
        <v>466</v>
      </c>
      <c r="H102" s="233" t="s">
        <v>466</v>
      </c>
      <c r="I102" s="233" t="s">
        <v>466</v>
      </c>
      <c r="J102" s="233" t="s">
        <v>962</v>
      </c>
      <c r="K102" s="240" t="s">
        <v>1134</v>
      </c>
      <c r="L102" s="233"/>
      <c r="M102" s="233"/>
    </row>
    <row r="103" spans="1:13" ht="21.75" customHeight="1">
      <c r="A103" s="239">
        <v>46153</v>
      </c>
      <c r="B103" s="38">
        <f t="shared" si="1"/>
        <v>20</v>
      </c>
      <c r="C103" s="233" t="s">
        <v>1045</v>
      </c>
      <c r="D103" s="233" t="s">
        <v>206</v>
      </c>
      <c r="E103" s="240" t="s">
        <v>914</v>
      </c>
      <c r="F103" s="240" t="s">
        <v>915</v>
      </c>
      <c r="G103" s="233" t="s">
        <v>916</v>
      </c>
      <c r="H103" s="233" t="s">
        <v>33</v>
      </c>
      <c r="I103" s="233" t="s">
        <v>41</v>
      </c>
      <c r="J103" s="233" t="s">
        <v>31</v>
      </c>
      <c r="K103" s="240" t="s">
        <v>1135</v>
      </c>
      <c r="L103" s="233">
        <v>46156</v>
      </c>
      <c r="M103" s="233" t="s">
        <v>1136</v>
      </c>
    </row>
    <row r="104" spans="1:13" ht="21.75" customHeight="1">
      <c r="A104" s="239">
        <v>46153</v>
      </c>
      <c r="B104" s="38">
        <f t="shared" si="1"/>
        <v>20</v>
      </c>
      <c r="C104" s="233" t="s">
        <v>1025</v>
      </c>
      <c r="D104" s="233" t="s">
        <v>72</v>
      </c>
      <c r="E104" s="240" t="s">
        <v>914</v>
      </c>
      <c r="F104" s="240" t="s">
        <v>915</v>
      </c>
      <c r="G104" s="233" t="s">
        <v>916</v>
      </c>
      <c r="H104" s="233" t="s">
        <v>33</v>
      </c>
      <c r="I104" s="233" t="s">
        <v>32</v>
      </c>
      <c r="J104" s="233" t="s">
        <v>31</v>
      </c>
      <c r="K104" s="240" t="s">
        <v>1137</v>
      </c>
      <c r="L104" s="233">
        <v>46156</v>
      </c>
      <c r="M104" s="233" t="s">
        <v>1138</v>
      </c>
    </row>
    <row r="105" spans="1:13" ht="21.75" customHeight="1">
      <c r="A105" s="239">
        <v>46153</v>
      </c>
      <c r="B105" s="38">
        <f t="shared" si="1"/>
        <v>20</v>
      </c>
      <c r="C105" s="233" t="s">
        <v>1110</v>
      </c>
      <c r="D105" s="233" t="s">
        <v>415</v>
      </c>
      <c r="E105" s="240" t="s">
        <v>924</v>
      </c>
      <c r="F105" s="240" t="s">
        <v>915</v>
      </c>
      <c r="G105" s="233" t="s">
        <v>916</v>
      </c>
      <c r="H105" s="233" t="s">
        <v>30</v>
      </c>
      <c r="I105" s="233" t="s">
        <v>39</v>
      </c>
      <c r="J105" s="233" t="s">
        <v>40</v>
      </c>
      <c r="K105" s="240" t="s">
        <v>1139</v>
      </c>
      <c r="L105" s="233">
        <v>46160</v>
      </c>
      <c r="M105" s="233" t="s">
        <v>1112</v>
      </c>
    </row>
    <row r="106" spans="1:13" ht="21.75" customHeight="1">
      <c r="A106" s="239">
        <v>46153</v>
      </c>
      <c r="B106" s="38">
        <f t="shared" si="1"/>
        <v>20</v>
      </c>
      <c r="C106" s="233" t="s">
        <v>1107</v>
      </c>
      <c r="D106" s="233" t="s">
        <v>64</v>
      </c>
      <c r="E106" s="240" t="s">
        <v>924</v>
      </c>
      <c r="F106" s="240" t="s">
        <v>915</v>
      </c>
      <c r="G106" s="233" t="s">
        <v>916</v>
      </c>
      <c r="H106" s="233" t="s">
        <v>30</v>
      </c>
      <c r="I106" s="233" t="s">
        <v>225</v>
      </c>
      <c r="J106" s="233" t="s">
        <v>31</v>
      </c>
      <c r="K106" s="240" t="s">
        <v>1066</v>
      </c>
      <c r="L106" s="233">
        <v>46156</v>
      </c>
      <c r="M106" s="233" t="s">
        <v>1024</v>
      </c>
    </row>
    <row r="107" spans="1:13" ht="21.75" customHeight="1">
      <c r="A107" s="239">
        <v>46153</v>
      </c>
      <c r="B107" s="38">
        <f t="shared" si="1"/>
        <v>20</v>
      </c>
      <c r="C107" s="233" t="s">
        <v>1140</v>
      </c>
      <c r="D107" s="233" t="s">
        <v>1010</v>
      </c>
      <c r="E107" s="240" t="s">
        <v>934</v>
      </c>
      <c r="F107" s="240" t="s">
        <v>915</v>
      </c>
      <c r="G107" s="233" t="s">
        <v>916</v>
      </c>
      <c r="H107" s="233" t="s">
        <v>30</v>
      </c>
      <c r="I107" s="233" t="s">
        <v>32</v>
      </c>
      <c r="J107" s="233" t="s">
        <v>37</v>
      </c>
      <c r="K107" s="240" t="s">
        <v>1011</v>
      </c>
      <c r="L107" s="233">
        <v>46156</v>
      </c>
      <c r="M107" s="233" t="s">
        <v>1012</v>
      </c>
    </row>
    <row r="108" spans="1:13" ht="21.75" customHeight="1">
      <c r="A108" s="239">
        <v>46153</v>
      </c>
      <c r="B108" s="38">
        <f t="shared" si="1"/>
        <v>20</v>
      </c>
      <c r="C108" s="233" t="s">
        <v>1141</v>
      </c>
      <c r="D108" s="233" t="s">
        <v>74</v>
      </c>
      <c r="E108" s="240" t="s">
        <v>942</v>
      </c>
      <c r="F108" s="240" t="s">
        <v>926</v>
      </c>
      <c r="G108" s="233" t="s">
        <v>916</v>
      </c>
      <c r="H108" s="233" t="s">
        <v>466</v>
      </c>
      <c r="I108" s="233" t="s">
        <v>466</v>
      </c>
      <c r="J108" s="233" t="s">
        <v>31</v>
      </c>
      <c r="K108" s="240" t="s">
        <v>1142</v>
      </c>
      <c r="L108" s="233">
        <v>46160</v>
      </c>
      <c r="M108" s="233" t="s">
        <v>1143</v>
      </c>
    </row>
    <row r="109" spans="1:13" ht="21.75" customHeight="1">
      <c r="A109" s="239">
        <v>46153</v>
      </c>
      <c r="B109" s="38">
        <f t="shared" si="1"/>
        <v>20</v>
      </c>
      <c r="C109" s="233" t="s">
        <v>1028</v>
      </c>
      <c r="D109" s="233"/>
      <c r="E109" s="240" t="s">
        <v>950</v>
      </c>
      <c r="F109" s="240" t="s">
        <v>990</v>
      </c>
      <c r="G109" s="233" t="s">
        <v>991</v>
      </c>
      <c r="H109" s="233" t="s">
        <v>466</v>
      </c>
      <c r="I109" s="233" t="s">
        <v>466</v>
      </c>
      <c r="J109" s="233" t="s">
        <v>31</v>
      </c>
      <c r="K109" s="240" t="s">
        <v>1144</v>
      </c>
      <c r="L109" s="233">
        <v>46160</v>
      </c>
      <c r="M109" s="233" t="s">
        <v>993</v>
      </c>
    </row>
    <row r="110" spans="1:13" ht="21.75" customHeight="1">
      <c r="A110" s="239">
        <v>46153</v>
      </c>
      <c r="B110" s="38">
        <f t="shared" si="1"/>
        <v>20</v>
      </c>
      <c r="C110" s="233" t="s">
        <v>558</v>
      </c>
      <c r="D110" s="233" t="s">
        <v>83</v>
      </c>
      <c r="E110" s="240" t="s">
        <v>954</v>
      </c>
      <c r="F110" s="240" t="s">
        <v>915</v>
      </c>
      <c r="G110" s="233" t="s">
        <v>916</v>
      </c>
      <c r="H110" s="233" t="s">
        <v>466</v>
      </c>
      <c r="I110" s="233" t="s">
        <v>466</v>
      </c>
      <c r="J110" s="233" t="s">
        <v>31</v>
      </c>
      <c r="K110" s="240" t="s">
        <v>1145</v>
      </c>
      <c r="L110" s="233">
        <v>46160</v>
      </c>
      <c r="M110" s="233" t="s">
        <v>1004</v>
      </c>
    </row>
    <row r="111" spans="1:13" ht="21.75" customHeight="1">
      <c r="A111" s="239">
        <v>46153</v>
      </c>
      <c r="B111" s="38">
        <f t="shared" si="1"/>
        <v>20</v>
      </c>
      <c r="C111" s="233" t="s">
        <v>1021</v>
      </c>
      <c r="D111" s="233" t="s">
        <v>82</v>
      </c>
      <c r="E111" s="240" t="s">
        <v>954</v>
      </c>
      <c r="F111" s="240" t="s">
        <v>915</v>
      </c>
      <c r="G111" s="233" t="s">
        <v>916</v>
      </c>
      <c r="H111" s="233" t="s">
        <v>466</v>
      </c>
      <c r="I111" s="233" t="s">
        <v>466</v>
      </c>
      <c r="J111" s="233" t="s">
        <v>40</v>
      </c>
      <c r="K111" s="240" t="s">
        <v>1146</v>
      </c>
      <c r="L111" s="233">
        <v>46160</v>
      </c>
      <c r="M111" s="233" t="s">
        <v>1092</v>
      </c>
    </row>
    <row r="112" spans="1:13" ht="21.75" customHeight="1">
      <c r="A112" s="239">
        <v>46153</v>
      </c>
      <c r="B112" s="38">
        <f t="shared" si="1"/>
        <v>20</v>
      </c>
      <c r="C112" s="233" t="s">
        <v>959</v>
      </c>
      <c r="D112" s="233"/>
      <c r="E112" s="240" t="s">
        <v>960</v>
      </c>
      <c r="F112" s="240" t="s">
        <v>961</v>
      </c>
      <c r="G112" s="233" t="s">
        <v>466</v>
      </c>
      <c r="H112" s="233" t="s">
        <v>466</v>
      </c>
      <c r="I112" s="233" t="s">
        <v>466</v>
      </c>
      <c r="J112" s="233" t="s">
        <v>962</v>
      </c>
      <c r="K112" s="240" t="s">
        <v>1147</v>
      </c>
      <c r="L112" s="233"/>
      <c r="M112" s="233"/>
    </row>
    <row r="113" spans="1:13" ht="21.75" customHeight="1">
      <c r="A113" s="239">
        <v>46154</v>
      </c>
      <c r="B113" s="38">
        <f t="shared" si="1"/>
        <v>20</v>
      </c>
      <c r="C113" s="233" t="s">
        <v>240</v>
      </c>
      <c r="D113" s="233" t="s">
        <v>241</v>
      </c>
      <c r="E113" s="240" t="s">
        <v>914</v>
      </c>
      <c r="F113" s="240" t="s">
        <v>915</v>
      </c>
      <c r="G113" s="233" t="s">
        <v>916</v>
      </c>
      <c r="H113" s="233" t="s">
        <v>30</v>
      </c>
      <c r="I113" s="233" t="s">
        <v>32</v>
      </c>
      <c r="J113" s="233" t="s">
        <v>40</v>
      </c>
      <c r="K113" s="240" t="s">
        <v>1148</v>
      </c>
      <c r="L113" s="233">
        <v>46156</v>
      </c>
      <c r="M113" s="233" t="s">
        <v>1149</v>
      </c>
    </row>
    <row r="114" spans="1:13" ht="21.75" customHeight="1">
      <c r="A114" s="239">
        <v>46154</v>
      </c>
      <c r="B114" s="38">
        <f t="shared" si="1"/>
        <v>20</v>
      </c>
      <c r="C114" s="233" t="s">
        <v>1043</v>
      </c>
      <c r="D114" s="233" t="s">
        <v>976</v>
      </c>
      <c r="E114" s="240" t="s">
        <v>924</v>
      </c>
      <c r="F114" s="240" t="s">
        <v>915</v>
      </c>
      <c r="G114" s="233" t="s">
        <v>916</v>
      </c>
      <c r="H114" s="233" t="s">
        <v>33</v>
      </c>
      <c r="I114" s="233" t="s">
        <v>32</v>
      </c>
      <c r="J114" s="233" t="s">
        <v>31</v>
      </c>
      <c r="K114" s="240" t="s">
        <v>1150</v>
      </c>
      <c r="L114" s="233">
        <v>46159</v>
      </c>
      <c r="M114" s="233" t="s">
        <v>978</v>
      </c>
    </row>
    <row r="115" spans="1:13" ht="21.75" customHeight="1">
      <c r="A115" s="239">
        <v>46154</v>
      </c>
      <c r="B115" s="38">
        <f t="shared" si="1"/>
        <v>20</v>
      </c>
      <c r="C115" s="233" t="s">
        <v>219</v>
      </c>
      <c r="D115" s="233" t="s">
        <v>66</v>
      </c>
      <c r="E115" s="240" t="s">
        <v>924</v>
      </c>
      <c r="F115" s="240" t="s">
        <v>915</v>
      </c>
      <c r="G115" s="233" t="s">
        <v>916</v>
      </c>
      <c r="H115" s="233" t="s">
        <v>30</v>
      </c>
      <c r="I115" s="233" t="s">
        <v>225</v>
      </c>
      <c r="J115" s="233" t="s">
        <v>31</v>
      </c>
      <c r="K115" s="240" t="s">
        <v>1099</v>
      </c>
      <c r="L115" s="233">
        <v>46159</v>
      </c>
      <c r="M115" s="233" t="s">
        <v>1039</v>
      </c>
    </row>
    <row r="116" spans="1:13" ht="21.75" customHeight="1">
      <c r="A116" s="239">
        <v>46154</v>
      </c>
      <c r="B116" s="38">
        <f t="shared" si="1"/>
        <v>20</v>
      </c>
      <c r="C116" s="233" t="s">
        <v>1005</v>
      </c>
      <c r="D116" s="233" t="s">
        <v>1006</v>
      </c>
      <c r="E116" s="240" t="s">
        <v>924</v>
      </c>
      <c r="F116" s="240" t="s">
        <v>915</v>
      </c>
      <c r="G116" s="233" t="s">
        <v>916</v>
      </c>
      <c r="H116" s="233" t="s">
        <v>33</v>
      </c>
      <c r="I116" s="233" t="s">
        <v>32</v>
      </c>
      <c r="J116" s="233" t="s">
        <v>37</v>
      </c>
      <c r="K116" s="240" t="s">
        <v>1151</v>
      </c>
      <c r="L116" s="233">
        <v>46159</v>
      </c>
      <c r="M116" s="233" t="s">
        <v>1152</v>
      </c>
    </row>
    <row r="117" spans="1:13" ht="21.75" customHeight="1">
      <c r="A117" s="239">
        <v>46154</v>
      </c>
      <c r="B117" s="38">
        <f t="shared" si="1"/>
        <v>20</v>
      </c>
      <c r="C117" s="233" t="s">
        <v>1153</v>
      </c>
      <c r="D117" s="233" t="s">
        <v>956</v>
      </c>
      <c r="E117" s="240" t="s">
        <v>934</v>
      </c>
      <c r="F117" s="240" t="s">
        <v>915</v>
      </c>
      <c r="G117" s="233" t="s">
        <v>916</v>
      </c>
      <c r="H117" s="233" t="s">
        <v>30</v>
      </c>
      <c r="I117" s="233" t="s">
        <v>32</v>
      </c>
      <c r="J117" s="233" t="s">
        <v>42</v>
      </c>
      <c r="K117" s="240" t="s">
        <v>1154</v>
      </c>
      <c r="L117" s="233">
        <v>46159</v>
      </c>
      <c r="M117" s="233" t="s">
        <v>1017</v>
      </c>
    </row>
    <row r="118" spans="1:13" ht="21.75" customHeight="1">
      <c r="A118" s="239">
        <v>46154</v>
      </c>
      <c r="B118" s="38">
        <f t="shared" si="1"/>
        <v>20</v>
      </c>
      <c r="C118" s="233" t="s">
        <v>1124</v>
      </c>
      <c r="D118" s="233" t="s">
        <v>70</v>
      </c>
      <c r="E118" s="240" t="s">
        <v>934</v>
      </c>
      <c r="F118" s="240" t="s">
        <v>915</v>
      </c>
      <c r="G118" s="233" t="s">
        <v>916</v>
      </c>
      <c r="H118" s="233" t="s">
        <v>30</v>
      </c>
      <c r="I118" s="233" t="s">
        <v>32</v>
      </c>
      <c r="J118" s="233" t="s">
        <v>34</v>
      </c>
      <c r="K118" s="240" t="s">
        <v>1155</v>
      </c>
      <c r="L118" s="233">
        <v>46159</v>
      </c>
      <c r="M118" s="233" t="s">
        <v>1156</v>
      </c>
    </row>
    <row r="119" spans="1:13" ht="21.75" customHeight="1">
      <c r="A119" s="239">
        <v>46154</v>
      </c>
      <c r="B119" s="38">
        <f t="shared" si="1"/>
        <v>20</v>
      </c>
      <c r="C119" s="233" t="s">
        <v>469</v>
      </c>
      <c r="D119" s="233" t="s">
        <v>58</v>
      </c>
      <c r="E119" s="240" t="s">
        <v>942</v>
      </c>
      <c r="F119" s="240" t="s">
        <v>926</v>
      </c>
      <c r="G119" s="233" t="s">
        <v>916</v>
      </c>
      <c r="H119" s="233" t="s">
        <v>30</v>
      </c>
      <c r="I119" s="233" t="s">
        <v>32</v>
      </c>
      <c r="J119" s="233" t="s">
        <v>34</v>
      </c>
      <c r="K119" s="240" t="s">
        <v>1113</v>
      </c>
      <c r="L119" s="233">
        <v>46159</v>
      </c>
      <c r="M119" s="233" t="s">
        <v>985</v>
      </c>
    </row>
    <row r="120" spans="1:13" ht="21.75" customHeight="1">
      <c r="A120" s="239">
        <v>46154</v>
      </c>
      <c r="B120" s="38">
        <f t="shared" si="1"/>
        <v>20</v>
      </c>
      <c r="C120" s="233" t="s">
        <v>989</v>
      </c>
      <c r="D120" s="233"/>
      <c r="E120" s="240" t="s">
        <v>950</v>
      </c>
      <c r="F120" s="240" t="s">
        <v>990</v>
      </c>
      <c r="G120" s="233" t="s">
        <v>991</v>
      </c>
      <c r="H120" s="233" t="s">
        <v>466</v>
      </c>
      <c r="I120" s="233" t="s">
        <v>466</v>
      </c>
      <c r="J120" s="233" t="s">
        <v>34</v>
      </c>
      <c r="K120" s="240" t="s">
        <v>1157</v>
      </c>
      <c r="L120" s="233">
        <v>46159</v>
      </c>
      <c r="M120" s="233" t="s">
        <v>993</v>
      </c>
    </row>
    <row r="121" spans="1:13" ht="21.75" customHeight="1">
      <c r="A121" s="239">
        <v>46154</v>
      </c>
      <c r="B121" s="38">
        <f t="shared" si="1"/>
        <v>20</v>
      </c>
      <c r="C121" s="233" t="s">
        <v>1059</v>
      </c>
      <c r="D121" s="233" t="s">
        <v>518</v>
      </c>
      <c r="E121" s="240" t="s">
        <v>954</v>
      </c>
      <c r="F121" s="240" t="s">
        <v>915</v>
      </c>
      <c r="G121" s="233" t="s">
        <v>916</v>
      </c>
      <c r="H121" s="233" t="s">
        <v>30</v>
      </c>
      <c r="I121" s="233" t="s">
        <v>225</v>
      </c>
      <c r="J121" s="233" t="s">
        <v>34</v>
      </c>
      <c r="K121" s="240" t="s">
        <v>1158</v>
      </c>
      <c r="L121" s="233">
        <v>46159</v>
      </c>
      <c r="M121" s="233" t="s">
        <v>1061</v>
      </c>
    </row>
    <row r="122" spans="1:13" ht="21.75" customHeight="1">
      <c r="A122" s="239">
        <v>46154</v>
      </c>
      <c r="B122" s="38">
        <f t="shared" si="1"/>
        <v>20</v>
      </c>
      <c r="C122" s="233" t="s">
        <v>959</v>
      </c>
      <c r="D122" s="233"/>
      <c r="E122" s="240" t="s">
        <v>960</v>
      </c>
      <c r="F122" s="240" t="s">
        <v>961</v>
      </c>
      <c r="G122" s="233" t="s">
        <v>466</v>
      </c>
      <c r="H122" s="233" t="s">
        <v>466</v>
      </c>
      <c r="I122" s="233" t="s">
        <v>466</v>
      </c>
      <c r="J122" s="233" t="s">
        <v>962</v>
      </c>
      <c r="K122" s="240" t="s">
        <v>1159</v>
      </c>
      <c r="L122" s="233"/>
      <c r="M122" s="233"/>
    </row>
    <row r="123" spans="1:13" ht="21.75" customHeight="1">
      <c r="A123" s="239">
        <v>46155</v>
      </c>
      <c r="B123" s="38">
        <f t="shared" si="1"/>
        <v>20</v>
      </c>
      <c r="C123" s="233" t="s">
        <v>937</v>
      </c>
      <c r="D123" s="233" t="s">
        <v>72</v>
      </c>
      <c r="E123" s="240" t="s">
        <v>914</v>
      </c>
      <c r="F123" s="240" t="s">
        <v>915</v>
      </c>
      <c r="G123" s="233" t="s">
        <v>916</v>
      </c>
      <c r="H123" s="233" t="s">
        <v>33</v>
      </c>
      <c r="I123" s="233" t="s">
        <v>32</v>
      </c>
      <c r="J123" s="233" t="s">
        <v>31</v>
      </c>
      <c r="K123" s="240" t="s">
        <v>1160</v>
      </c>
      <c r="L123" s="233">
        <v>46159</v>
      </c>
      <c r="M123" s="233" t="s">
        <v>1017</v>
      </c>
    </row>
    <row r="124" spans="1:13" ht="21.75" customHeight="1">
      <c r="A124" s="239">
        <v>46155</v>
      </c>
      <c r="B124" s="38">
        <f t="shared" si="1"/>
        <v>20</v>
      </c>
      <c r="C124" s="233" t="s">
        <v>234</v>
      </c>
      <c r="D124" s="233" t="s">
        <v>72</v>
      </c>
      <c r="E124" s="240" t="s">
        <v>914</v>
      </c>
      <c r="F124" s="240" t="s">
        <v>915</v>
      </c>
      <c r="G124" s="233" t="s">
        <v>916</v>
      </c>
      <c r="H124" s="233" t="s">
        <v>33</v>
      </c>
      <c r="I124" s="233" t="s">
        <v>32</v>
      </c>
      <c r="J124" s="233" t="s">
        <v>31</v>
      </c>
      <c r="K124" s="240" t="s">
        <v>1161</v>
      </c>
      <c r="L124" s="233">
        <v>46162</v>
      </c>
      <c r="M124" s="233" t="s">
        <v>1162</v>
      </c>
    </row>
    <row r="125" spans="1:13" ht="21.75" customHeight="1">
      <c r="A125" s="239">
        <v>46155</v>
      </c>
      <c r="B125" s="38">
        <f t="shared" si="1"/>
        <v>20</v>
      </c>
      <c r="C125" s="233" t="s">
        <v>1022</v>
      </c>
      <c r="D125" s="233" t="s">
        <v>64</v>
      </c>
      <c r="E125" s="240" t="s">
        <v>924</v>
      </c>
      <c r="F125" s="240" t="s">
        <v>915</v>
      </c>
      <c r="G125" s="233" t="s">
        <v>916</v>
      </c>
      <c r="H125" s="233" t="s">
        <v>30</v>
      </c>
      <c r="I125" s="233" t="s">
        <v>225</v>
      </c>
      <c r="J125" s="233" t="s">
        <v>31</v>
      </c>
      <c r="K125" s="240" t="s">
        <v>1163</v>
      </c>
      <c r="L125" s="233">
        <v>46159</v>
      </c>
      <c r="M125" s="233" t="s">
        <v>1042</v>
      </c>
    </row>
    <row r="126" spans="1:13" ht="21.75" customHeight="1">
      <c r="A126" s="239">
        <v>46155</v>
      </c>
      <c r="B126" s="38">
        <f t="shared" si="1"/>
        <v>20</v>
      </c>
      <c r="C126" s="233" t="s">
        <v>219</v>
      </c>
      <c r="D126" s="233" t="s">
        <v>66</v>
      </c>
      <c r="E126" s="240" t="s">
        <v>924</v>
      </c>
      <c r="F126" s="240" t="s">
        <v>915</v>
      </c>
      <c r="G126" s="233" t="s">
        <v>916</v>
      </c>
      <c r="H126" s="233" t="s">
        <v>30</v>
      </c>
      <c r="I126" s="233" t="s">
        <v>225</v>
      </c>
      <c r="J126" s="233" t="s">
        <v>31</v>
      </c>
      <c r="K126" s="240" t="s">
        <v>1164</v>
      </c>
      <c r="L126" s="233">
        <v>46159</v>
      </c>
      <c r="M126" s="233" t="s">
        <v>1100</v>
      </c>
    </row>
    <row r="127" spans="1:13" ht="21.75" customHeight="1">
      <c r="A127" s="239">
        <v>46155</v>
      </c>
      <c r="B127" s="38">
        <f t="shared" si="1"/>
        <v>20</v>
      </c>
      <c r="C127" s="233" t="s">
        <v>563</v>
      </c>
      <c r="D127" s="233" t="s">
        <v>68</v>
      </c>
      <c r="E127" s="240" t="s">
        <v>934</v>
      </c>
      <c r="F127" s="240" t="s">
        <v>915</v>
      </c>
      <c r="G127" s="233" t="s">
        <v>916</v>
      </c>
      <c r="H127" s="233" t="s">
        <v>466</v>
      </c>
      <c r="I127" s="233" t="s">
        <v>466</v>
      </c>
      <c r="J127" s="233" t="s">
        <v>31</v>
      </c>
      <c r="K127" s="240" t="s">
        <v>1165</v>
      </c>
      <c r="L127" s="233">
        <v>46159</v>
      </c>
      <c r="M127" s="233" t="s">
        <v>1067</v>
      </c>
    </row>
    <row r="128" spans="1:13" ht="21.75" customHeight="1">
      <c r="A128" s="239">
        <v>46155</v>
      </c>
      <c r="B128" s="38">
        <f t="shared" si="1"/>
        <v>20</v>
      </c>
      <c r="C128" s="233" t="s">
        <v>1125</v>
      </c>
      <c r="D128" s="233" t="s">
        <v>232</v>
      </c>
      <c r="E128" s="240" t="s">
        <v>934</v>
      </c>
      <c r="F128" s="240" t="s">
        <v>915</v>
      </c>
      <c r="G128" s="233" t="s">
        <v>916</v>
      </c>
      <c r="H128" s="233" t="s">
        <v>30</v>
      </c>
      <c r="I128" s="233" t="s">
        <v>32</v>
      </c>
      <c r="J128" s="233" t="s">
        <v>31</v>
      </c>
      <c r="K128" s="240" t="s">
        <v>1166</v>
      </c>
      <c r="L128" s="233">
        <v>46159</v>
      </c>
      <c r="M128" s="233" t="s">
        <v>1017</v>
      </c>
    </row>
    <row r="129" spans="1:13" ht="21.75" customHeight="1">
      <c r="A129" s="239">
        <v>46155</v>
      </c>
      <c r="B129" s="38">
        <f t="shared" si="1"/>
        <v>20</v>
      </c>
      <c r="C129" s="233" t="s">
        <v>423</v>
      </c>
      <c r="D129" s="233" t="s">
        <v>422</v>
      </c>
      <c r="E129" s="240" t="s">
        <v>934</v>
      </c>
      <c r="F129" s="240" t="s">
        <v>915</v>
      </c>
      <c r="G129" s="233" t="s">
        <v>916</v>
      </c>
      <c r="H129" s="233" t="s">
        <v>466</v>
      </c>
      <c r="I129" s="233" t="s">
        <v>466</v>
      </c>
      <c r="J129" s="233" t="s">
        <v>34</v>
      </c>
      <c r="K129" s="240" t="s">
        <v>1167</v>
      </c>
      <c r="L129" s="233">
        <v>46162</v>
      </c>
      <c r="M129" s="233" t="s">
        <v>1004</v>
      </c>
    </row>
    <row r="130" spans="1:13" ht="21.75" customHeight="1">
      <c r="A130" s="239">
        <v>46155</v>
      </c>
      <c r="B130" s="38">
        <f t="shared" ref="B130:B193" si="2">WEEKNUM(A130)</f>
        <v>20</v>
      </c>
      <c r="C130" s="233" t="s">
        <v>1168</v>
      </c>
      <c r="D130" s="233" t="s">
        <v>582</v>
      </c>
      <c r="E130" s="240" t="s">
        <v>942</v>
      </c>
      <c r="F130" s="240" t="s">
        <v>926</v>
      </c>
      <c r="G130" s="233" t="s">
        <v>916</v>
      </c>
      <c r="H130" s="233" t="s">
        <v>30</v>
      </c>
      <c r="I130" s="233" t="s">
        <v>35</v>
      </c>
      <c r="J130" s="233" t="s">
        <v>31</v>
      </c>
      <c r="K130" s="240" t="s">
        <v>1169</v>
      </c>
      <c r="L130" s="233">
        <v>46159</v>
      </c>
      <c r="M130" s="233" t="s">
        <v>1170</v>
      </c>
    </row>
    <row r="131" spans="1:13" ht="21.75" customHeight="1">
      <c r="A131" s="239">
        <v>46155</v>
      </c>
      <c r="B131" s="38">
        <f t="shared" si="2"/>
        <v>20</v>
      </c>
      <c r="C131" s="233" t="s">
        <v>1171</v>
      </c>
      <c r="D131" s="233" t="s">
        <v>976</v>
      </c>
      <c r="E131" s="240" t="s">
        <v>946</v>
      </c>
      <c r="F131" s="240" t="s">
        <v>926</v>
      </c>
      <c r="G131" s="233" t="s">
        <v>916</v>
      </c>
      <c r="H131" s="233" t="s">
        <v>33</v>
      </c>
      <c r="I131" s="233" t="s">
        <v>32</v>
      </c>
      <c r="J131" s="233" t="s">
        <v>31</v>
      </c>
      <c r="K131" s="240" t="s">
        <v>1172</v>
      </c>
      <c r="L131" s="233">
        <v>46162</v>
      </c>
      <c r="M131" s="233" t="s">
        <v>978</v>
      </c>
    </row>
    <row r="132" spans="1:13" ht="21.75" customHeight="1">
      <c r="A132" s="239">
        <v>46155</v>
      </c>
      <c r="B132" s="38">
        <f t="shared" si="2"/>
        <v>20</v>
      </c>
      <c r="C132" s="233" t="s">
        <v>1173</v>
      </c>
      <c r="D132" s="233"/>
      <c r="E132" s="240" t="s">
        <v>950</v>
      </c>
      <c r="F132" s="240" t="s">
        <v>990</v>
      </c>
      <c r="G132" s="233" t="s">
        <v>991</v>
      </c>
      <c r="H132" s="233" t="s">
        <v>466</v>
      </c>
      <c r="I132" s="233" t="s">
        <v>466</v>
      </c>
      <c r="J132" s="233" t="s">
        <v>31</v>
      </c>
      <c r="K132" s="240" t="s">
        <v>1174</v>
      </c>
      <c r="L132" s="233">
        <v>46159</v>
      </c>
      <c r="M132" s="233" t="s">
        <v>1087</v>
      </c>
    </row>
    <row r="133" spans="1:13" ht="21.75" customHeight="1">
      <c r="A133" s="239">
        <v>46155</v>
      </c>
      <c r="B133" s="38">
        <f t="shared" si="2"/>
        <v>20</v>
      </c>
      <c r="C133" s="233" t="s">
        <v>1175</v>
      </c>
      <c r="D133" s="233" t="s">
        <v>543</v>
      </c>
      <c r="E133" s="240" t="s">
        <v>954</v>
      </c>
      <c r="F133" s="240" t="s">
        <v>915</v>
      </c>
      <c r="G133" s="233" t="s">
        <v>916</v>
      </c>
      <c r="H133" s="233" t="s">
        <v>466</v>
      </c>
      <c r="I133" s="233" t="s">
        <v>466</v>
      </c>
      <c r="J133" s="233" t="s">
        <v>31</v>
      </c>
      <c r="K133" s="240" t="s">
        <v>1176</v>
      </c>
      <c r="L133" s="233">
        <v>46162</v>
      </c>
      <c r="M133" s="233" t="s">
        <v>1177</v>
      </c>
    </row>
    <row r="134" spans="1:13" ht="21.75" customHeight="1">
      <c r="A134" s="239">
        <v>46155</v>
      </c>
      <c r="B134" s="38">
        <f t="shared" si="2"/>
        <v>20</v>
      </c>
      <c r="C134" s="233" t="s">
        <v>959</v>
      </c>
      <c r="D134" s="233"/>
      <c r="E134" s="240" t="s">
        <v>960</v>
      </c>
      <c r="F134" s="240" t="s">
        <v>961</v>
      </c>
      <c r="G134" s="233" t="s">
        <v>466</v>
      </c>
      <c r="H134" s="233" t="s">
        <v>466</v>
      </c>
      <c r="I134" s="233" t="s">
        <v>466</v>
      </c>
      <c r="J134" s="233" t="s">
        <v>962</v>
      </c>
      <c r="K134" s="240" t="s">
        <v>1178</v>
      </c>
      <c r="L134" s="233"/>
      <c r="M134" s="233"/>
    </row>
    <row r="135" spans="1:13" ht="21.75" customHeight="1">
      <c r="A135" s="251">
        <v>46156</v>
      </c>
      <c r="B135" s="38">
        <f t="shared" si="2"/>
        <v>20</v>
      </c>
      <c r="C135" s="252" t="s">
        <v>594</v>
      </c>
      <c r="D135" s="252" t="s">
        <v>78</v>
      </c>
      <c r="E135" s="253" t="s">
        <v>914</v>
      </c>
      <c r="F135" s="253" t="s">
        <v>915</v>
      </c>
      <c r="G135" s="252" t="s">
        <v>916</v>
      </c>
      <c r="H135" s="252" t="s">
        <v>30</v>
      </c>
      <c r="I135" s="252" t="s">
        <v>35</v>
      </c>
      <c r="J135" s="252" t="s">
        <v>34</v>
      </c>
      <c r="K135" s="253" t="s">
        <v>1179</v>
      </c>
      <c r="L135" s="252">
        <v>46159</v>
      </c>
      <c r="M135" s="252" t="s">
        <v>1180</v>
      </c>
    </row>
    <row r="136" spans="1:13" ht="21.75" customHeight="1">
      <c r="A136" s="239">
        <v>46156</v>
      </c>
      <c r="B136" s="38">
        <f t="shared" si="2"/>
        <v>20</v>
      </c>
      <c r="C136" s="233" t="s">
        <v>1043</v>
      </c>
      <c r="D136" s="233" t="s">
        <v>976</v>
      </c>
      <c r="E136" s="240" t="s">
        <v>914</v>
      </c>
      <c r="F136" s="240" t="s">
        <v>915</v>
      </c>
      <c r="G136" s="233" t="s">
        <v>916</v>
      </c>
      <c r="H136" s="233" t="s">
        <v>33</v>
      </c>
      <c r="I136" s="233" t="s">
        <v>32</v>
      </c>
      <c r="J136" s="233" t="s">
        <v>31</v>
      </c>
      <c r="K136" s="240" t="s">
        <v>1181</v>
      </c>
      <c r="L136" s="233">
        <v>46159</v>
      </c>
      <c r="M136" s="233" t="s">
        <v>1069</v>
      </c>
    </row>
    <row r="137" spans="1:13" ht="21.75" customHeight="1">
      <c r="A137" s="239">
        <v>46156</v>
      </c>
      <c r="B137" s="38">
        <f t="shared" si="2"/>
        <v>20</v>
      </c>
      <c r="C137" s="233" t="s">
        <v>1005</v>
      </c>
      <c r="D137" s="233" t="s">
        <v>1006</v>
      </c>
      <c r="E137" s="240" t="s">
        <v>914</v>
      </c>
      <c r="F137" s="240" t="s">
        <v>915</v>
      </c>
      <c r="G137" s="233" t="s">
        <v>916</v>
      </c>
      <c r="H137" s="233" t="s">
        <v>33</v>
      </c>
      <c r="I137" s="233" t="s">
        <v>32</v>
      </c>
      <c r="J137" s="233" t="s">
        <v>37</v>
      </c>
      <c r="K137" s="240" t="s">
        <v>1182</v>
      </c>
      <c r="L137" s="233">
        <v>46163</v>
      </c>
      <c r="M137" s="233" t="s">
        <v>1071</v>
      </c>
    </row>
    <row r="138" spans="1:13" ht="21.75" customHeight="1">
      <c r="A138" s="239">
        <v>46156</v>
      </c>
      <c r="B138" s="38">
        <f t="shared" si="2"/>
        <v>20</v>
      </c>
      <c r="C138" s="233" t="s">
        <v>1183</v>
      </c>
      <c r="D138" s="233" t="s">
        <v>64</v>
      </c>
      <c r="E138" s="240" t="s">
        <v>924</v>
      </c>
      <c r="F138" s="240" t="s">
        <v>915</v>
      </c>
      <c r="G138" s="233" t="s">
        <v>916</v>
      </c>
      <c r="H138" s="233" t="s">
        <v>30</v>
      </c>
      <c r="I138" s="233" t="s">
        <v>225</v>
      </c>
      <c r="J138" s="233" t="s">
        <v>31</v>
      </c>
      <c r="K138" s="240" t="s">
        <v>1184</v>
      </c>
      <c r="L138" s="233">
        <v>46160</v>
      </c>
      <c r="M138" s="233" t="s">
        <v>1185</v>
      </c>
    </row>
    <row r="139" spans="1:13" ht="21.75" customHeight="1">
      <c r="A139" s="239">
        <v>46156</v>
      </c>
      <c r="B139" s="38">
        <f t="shared" si="2"/>
        <v>20</v>
      </c>
      <c r="C139" s="233" t="s">
        <v>1121</v>
      </c>
      <c r="D139" s="233" t="s">
        <v>956</v>
      </c>
      <c r="E139" s="240" t="s">
        <v>924</v>
      </c>
      <c r="F139" s="240" t="s">
        <v>915</v>
      </c>
      <c r="G139" s="233" t="s">
        <v>916</v>
      </c>
      <c r="H139" s="233" t="s">
        <v>30</v>
      </c>
      <c r="I139" s="233" t="s">
        <v>32</v>
      </c>
      <c r="J139" s="233" t="s">
        <v>42</v>
      </c>
      <c r="K139" s="240" t="s">
        <v>1186</v>
      </c>
      <c r="L139" s="233">
        <v>46163</v>
      </c>
      <c r="M139" s="233" t="s">
        <v>1104</v>
      </c>
    </row>
    <row r="140" spans="1:13" ht="21.75" customHeight="1">
      <c r="A140" s="239">
        <v>46156</v>
      </c>
      <c r="B140" s="38">
        <f t="shared" si="2"/>
        <v>20</v>
      </c>
      <c r="C140" s="233" t="s">
        <v>1045</v>
      </c>
      <c r="D140" s="233" t="s">
        <v>206</v>
      </c>
      <c r="E140" s="240" t="s">
        <v>924</v>
      </c>
      <c r="F140" s="240" t="s">
        <v>915</v>
      </c>
      <c r="G140" s="233" t="s">
        <v>916</v>
      </c>
      <c r="H140" s="233" t="s">
        <v>33</v>
      </c>
      <c r="I140" s="233" t="s">
        <v>41</v>
      </c>
      <c r="J140" s="233" t="s">
        <v>31</v>
      </c>
      <c r="K140" s="240" t="s">
        <v>1187</v>
      </c>
      <c r="L140" s="233">
        <v>46163</v>
      </c>
      <c r="M140" s="233" t="s">
        <v>1047</v>
      </c>
    </row>
    <row r="141" spans="1:13" ht="21.75" customHeight="1">
      <c r="A141" s="239">
        <v>46156</v>
      </c>
      <c r="B141" s="38">
        <f t="shared" si="2"/>
        <v>20</v>
      </c>
      <c r="C141" s="233" t="s">
        <v>1124</v>
      </c>
      <c r="D141" s="233" t="s">
        <v>70</v>
      </c>
      <c r="E141" s="240" t="s">
        <v>934</v>
      </c>
      <c r="F141" s="240" t="s">
        <v>915</v>
      </c>
      <c r="G141" s="233" t="s">
        <v>916</v>
      </c>
      <c r="H141" s="233" t="s">
        <v>30</v>
      </c>
      <c r="I141" s="233" t="s">
        <v>32</v>
      </c>
      <c r="J141" s="233" t="s">
        <v>34</v>
      </c>
      <c r="K141" s="240" t="s">
        <v>1188</v>
      </c>
      <c r="L141" s="233">
        <v>46163</v>
      </c>
      <c r="M141" s="233" t="s">
        <v>1152</v>
      </c>
    </row>
    <row r="142" spans="1:13" ht="21.75" customHeight="1">
      <c r="A142" s="239">
        <v>46156</v>
      </c>
      <c r="B142" s="38">
        <f t="shared" si="2"/>
        <v>20</v>
      </c>
      <c r="C142" s="233" t="s">
        <v>1083</v>
      </c>
      <c r="D142" s="233" t="s">
        <v>72</v>
      </c>
      <c r="E142" s="240" t="s">
        <v>934</v>
      </c>
      <c r="F142" s="240" t="s">
        <v>915</v>
      </c>
      <c r="G142" s="233" t="s">
        <v>916</v>
      </c>
      <c r="H142" s="233" t="s">
        <v>30</v>
      </c>
      <c r="I142" s="233" t="s">
        <v>225</v>
      </c>
      <c r="J142" s="233" t="s">
        <v>224</v>
      </c>
      <c r="K142" s="240" t="s">
        <v>1189</v>
      </c>
      <c r="L142" s="233">
        <v>46163</v>
      </c>
      <c r="M142" s="233" t="s">
        <v>1190</v>
      </c>
    </row>
    <row r="143" spans="1:13" ht="21.75" customHeight="1">
      <c r="A143" s="239">
        <v>46156</v>
      </c>
      <c r="B143" s="38">
        <f t="shared" si="2"/>
        <v>20</v>
      </c>
      <c r="C143" s="233" t="s">
        <v>1085</v>
      </c>
      <c r="D143" s="233"/>
      <c r="E143" s="240" t="s">
        <v>942</v>
      </c>
      <c r="F143" s="240" t="s">
        <v>990</v>
      </c>
      <c r="G143" s="233" t="s">
        <v>991</v>
      </c>
      <c r="H143" s="233" t="s">
        <v>466</v>
      </c>
      <c r="I143" s="233" t="s">
        <v>466</v>
      </c>
      <c r="J143" s="233" t="s">
        <v>31</v>
      </c>
      <c r="K143" s="240" t="s">
        <v>1191</v>
      </c>
      <c r="L143" s="233">
        <v>46163</v>
      </c>
      <c r="M143" s="233" t="s">
        <v>1087</v>
      </c>
    </row>
    <row r="144" spans="1:13" ht="21.75" customHeight="1">
      <c r="A144" s="239">
        <v>46156</v>
      </c>
      <c r="B144" s="38">
        <f t="shared" si="2"/>
        <v>20</v>
      </c>
      <c r="C144" s="233" t="s">
        <v>1090</v>
      </c>
      <c r="D144" s="233"/>
      <c r="E144" s="240" t="s">
        <v>946</v>
      </c>
      <c r="F144" s="240" t="s">
        <v>926</v>
      </c>
      <c r="G144" s="233" t="s">
        <v>943</v>
      </c>
      <c r="H144" s="233" t="s">
        <v>466</v>
      </c>
      <c r="I144" s="233" t="s">
        <v>466</v>
      </c>
      <c r="J144" s="233" t="s">
        <v>31</v>
      </c>
      <c r="K144" s="240" t="s">
        <v>1091</v>
      </c>
      <c r="L144" s="233">
        <v>46163</v>
      </c>
      <c r="M144" s="233" t="s">
        <v>1092</v>
      </c>
    </row>
    <row r="145" spans="1:13" ht="21.75" customHeight="1">
      <c r="A145" s="239">
        <v>46156</v>
      </c>
      <c r="B145" s="38">
        <f t="shared" si="2"/>
        <v>20</v>
      </c>
      <c r="C145" s="233" t="s">
        <v>1192</v>
      </c>
      <c r="D145" s="233"/>
      <c r="E145" s="240" t="s">
        <v>950</v>
      </c>
      <c r="F145" s="240" t="s">
        <v>990</v>
      </c>
      <c r="G145" s="233" t="s">
        <v>991</v>
      </c>
      <c r="H145" s="233" t="s">
        <v>466</v>
      </c>
      <c r="I145" s="233" t="s">
        <v>466</v>
      </c>
      <c r="J145" s="233" t="s">
        <v>31</v>
      </c>
      <c r="K145" s="240" t="s">
        <v>1193</v>
      </c>
      <c r="L145" s="233">
        <v>46163</v>
      </c>
      <c r="M145" s="233" t="s">
        <v>1089</v>
      </c>
    </row>
    <row r="146" spans="1:13" ht="21.75" customHeight="1">
      <c r="A146" s="239">
        <v>46156</v>
      </c>
      <c r="B146" s="38">
        <f t="shared" si="2"/>
        <v>20</v>
      </c>
      <c r="C146" s="233" t="s">
        <v>1194</v>
      </c>
      <c r="D146" s="233"/>
      <c r="E146" s="240" t="s">
        <v>954</v>
      </c>
      <c r="F146" s="240" t="s">
        <v>961</v>
      </c>
      <c r="G146" s="233" t="s">
        <v>466</v>
      </c>
      <c r="H146" s="233" t="s">
        <v>466</v>
      </c>
      <c r="I146" s="233" t="s">
        <v>466</v>
      </c>
      <c r="J146" s="233" t="s">
        <v>962</v>
      </c>
      <c r="K146" s="240" t="s">
        <v>1195</v>
      </c>
      <c r="L146" s="233"/>
      <c r="M146" s="233"/>
    </row>
    <row r="147" spans="1:13" ht="21.75" customHeight="1">
      <c r="A147" s="239">
        <v>46156</v>
      </c>
      <c r="B147" s="38">
        <f t="shared" si="2"/>
        <v>20</v>
      </c>
      <c r="C147" s="233" t="s">
        <v>1196</v>
      </c>
      <c r="D147" s="233"/>
      <c r="E147" s="240" t="s">
        <v>960</v>
      </c>
      <c r="F147" s="240" t="s">
        <v>961</v>
      </c>
      <c r="G147" s="233" t="s">
        <v>466</v>
      </c>
      <c r="H147" s="233" t="s">
        <v>466</v>
      </c>
      <c r="I147" s="233" t="s">
        <v>466</v>
      </c>
      <c r="J147" s="233" t="s">
        <v>962</v>
      </c>
      <c r="K147" s="240" t="s">
        <v>1197</v>
      </c>
      <c r="L147" s="233"/>
      <c r="M147" s="233"/>
    </row>
    <row r="148" spans="1:13" ht="18" customHeight="1">
      <c r="A148" s="284">
        <v>46158</v>
      </c>
      <c r="B148" s="38">
        <f t="shared" si="2"/>
        <v>20</v>
      </c>
      <c r="C148" s="259" t="s">
        <v>219</v>
      </c>
      <c r="D148" s="259" t="s">
        <v>66</v>
      </c>
      <c r="E148" s="258" t="s">
        <v>914</v>
      </c>
      <c r="F148" s="259" t="s">
        <v>915</v>
      </c>
      <c r="G148" s="259" t="s">
        <v>916</v>
      </c>
      <c r="H148" s="259" t="s">
        <v>30</v>
      </c>
      <c r="I148" s="259" t="s">
        <v>225</v>
      </c>
      <c r="J148" s="259" t="s">
        <v>31</v>
      </c>
      <c r="K148" s="258" t="s">
        <v>1119</v>
      </c>
      <c r="L148" s="260">
        <v>46160</v>
      </c>
      <c r="M148" s="259" t="s">
        <v>1039</v>
      </c>
    </row>
    <row r="149" spans="1:13" ht="18" customHeight="1">
      <c r="A149" s="284">
        <v>46158</v>
      </c>
      <c r="B149" s="38">
        <f t="shared" si="2"/>
        <v>20</v>
      </c>
      <c r="C149" s="259" t="s">
        <v>594</v>
      </c>
      <c r="D149" s="259" t="s">
        <v>78</v>
      </c>
      <c r="E149" s="258" t="s">
        <v>914</v>
      </c>
      <c r="F149" s="259" t="s">
        <v>915</v>
      </c>
      <c r="G149" s="259" t="s">
        <v>916</v>
      </c>
      <c r="H149" s="259" t="s">
        <v>30</v>
      </c>
      <c r="I149" s="259" t="s">
        <v>39</v>
      </c>
      <c r="J149" s="259" t="s">
        <v>34</v>
      </c>
      <c r="K149" s="258" t="s">
        <v>1198</v>
      </c>
      <c r="L149" s="260">
        <v>46162</v>
      </c>
      <c r="M149" s="259" t="s">
        <v>1112</v>
      </c>
    </row>
    <row r="150" spans="1:13" ht="18" customHeight="1">
      <c r="A150" s="284">
        <v>46158</v>
      </c>
      <c r="B150" s="38">
        <f t="shared" si="2"/>
        <v>20</v>
      </c>
      <c r="C150" s="259" t="s">
        <v>1005</v>
      </c>
      <c r="D150" s="259" t="s">
        <v>1006</v>
      </c>
      <c r="E150" s="258" t="s">
        <v>924</v>
      </c>
      <c r="F150" s="259" t="s">
        <v>915</v>
      </c>
      <c r="G150" s="259" t="s">
        <v>916</v>
      </c>
      <c r="H150" s="259" t="s">
        <v>33</v>
      </c>
      <c r="I150" s="259" t="s">
        <v>32</v>
      </c>
      <c r="J150" s="259" t="s">
        <v>37</v>
      </c>
      <c r="K150" s="258" t="s">
        <v>1199</v>
      </c>
      <c r="L150" s="260">
        <v>46160</v>
      </c>
      <c r="M150" s="259" t="s">
        <v>1106</v>
      </c>
    </row>
    <row r="151" spans="1:13" ht="18" customHeight="1">
      <c r="A151" s="284">
        <v>46158</v>
      </c>
      <c r="B151" s="38">
        <f t="shared" si="2"/>
        <v>20</v>
      </c>
      <c r="C151" s="259" t="s">
        <v>1121</v>
      </c>
      <c r="D151" s="259" t="s">
        <v>956</v>
      </c>
      <c r="E151" s="258" t="s">
        <v>924</v>
      </c>
      <c r="F151" s="259" t="s">
        <v>915</v>
      </c>
      <c r="G151" s="259" t="s">
        <v>916</v>
      </c>
      <c r="H151" s="259" t="s">
        <v>30</v>
      </c>
      <c r="I151" s="259" t="s">
        <v>235</v>
      </c>
      <c r="J151" s="259" t="s">
        <v>42</v>
      </c>
      <c r="K151" s="258" t="s">
        <v>1122</v>
      </c>
      <c r="L151" s="260">
        <v>46161</v>
      </c>
      <c r="M151" s="259" t="s">
        <v>1049</v>
      </c>
    </row>
    <row r="152" spans="1:13" ht="18" customHeight="1">
      <c r="A152" s="284">
        <v>46158</v>
      </c>
      <c r="B152" s="38">
        <f t="shared" si="2"/>
        <v>20</v>
      </c>
      <c r="C152" s="259" t="s">
        <v>1107</v>
      </c>
      <c r="D152" s="259" t="s">
        <v>64</v>
      </c>
      <c r="E152" s="258" t="s">
        <v>934</v>
      </c>
      <c r="F152" s="259" t="s">
        <v>915</v>
      </c>
      <c r="G152" s="259" t="s">
        <v>916</v>
      </c>
      <c r="H152" s="259" t="s">
        <v>30</v>
      </c>
      <c r="I152" s="259" t="s">
        <v>225</v>
      </c>
      <c r="J152" s="259" t="s">
        <v>31</v>
      </c>
      <c r="K152" s="258" t="s">
        <v>1200</v>
      </c>
      <c r="L152" s="260">
        <v>46160</v>
      </c>
      <c r="M152" s="259" t="s">
        <v>1201</v>
      </c>
    </row>
    <row r="153" spans="1:13" ht="18" customHeight="1">
      <c r="A153" s="284">
        <v>46158</v>
      </c>
      <c r="B153" s="38">
        <f t="shared" si="2"/>
        <v>20</v>
      </c>
      <c r="C153" s="259" t="s">
        <v>1124</v>
      </c>
      <c r="D153" s="259" t="s">
        <v>70</v>
      </c>
      <c r="E153" s="258" t="s">
        <v>934</v>
      </c>
      <c r="F153" s="259" t="s">
        <v>915</v>
      </c>
      <c r="G153" s="259" t="s">
        <v>916</v>
      </c>
      <c r="H153" s="259" t="s">
        <v>30</v>
      </c>
      <c r="I153" s="259" t="s">
        <v>32</v>
      </c>
      <c r="J153" s="259" t="s">
        <v>34</v>
      </c>
      <c r="K153" s="258" t="s">
        <v>1202</v>
      </c>
      <c r="L153" s="260">
        <v>46161</v>
      </c>
      <c r="M153" s="259" t="s">
        <v>1156</v>
      </c>
    </row>
    <row r="154" spans="1:13" ht="18" customHeight="1">
      <c r="A154" s="284">
        <v>46158</v>
      </c>
      <c r="B154" s="38">
        <f t="shared" si="2"/>
        <v>20</v>
      </c>
      <c r="C154" s="259" t="s">
        <v>469</v>
      </c>
      <c r="D154" s="259" t="s">
        <v>58</v>
      </c>
      <c r="E154" s="258" t="s">
        <v>942</v>
      </c>
      <c r="F154" s="259" t="s">
        <v>926</v>
      </c>
      <c r="G154" s="259" t="s">
        <v>916</v>
      </c>
      <c r="H154" s="259" t="s">
        <v>30</v>
      </c>
      <c r="I154" s="259" t="s">
        <v>32</v>
      </c>
      <c r="J154" s="259" t="s">
        <v>34</v>
      </c>
      <c r="K154" s="258" t="s">
        <v>984</v>
      </c>
      <c r="L154" s="260">
        <v>46161</v>
      </c>
      <c r="M154" s="259" t="s">
        <v>985</v>
      </c>
    </row>
    <row r="155" spans="1:13" ht="18" customHeight="1">
      <c r="A155" s="284">
        <v>46158</v>
      </c>
      <c r="B155" s="38">
        <f t="shared" si="2"/>
        <v>20</v>
      </c>
      <c r="C155" s="259" t="s">
        <v>989</v>
      </c>
      <c r="D155" s="259"/>
      <c r="E155" s="258" t="s">
        <v>950</v>
      </c>
      <c r="F155" s="259" t="s">
        <v>990</v>
      </c>
      <c r="G155" s="259" t="s">
        <v>991</v>
      </c>
      <c r="H155" s="259" t="s">
        <v>466</v>
      </c>
      <c r="I155" s="259" t="s">
        <v>466</v>
      </c>
      <c r="J155" s="259" t="s">
        <v>34</v>
      </c>
      <c r="K155" s="258" t="s">
        <v>1058</v>
      </c>
      <c r="L155" s="260">
        <v>46161</v>
      </c>
      <c r="M155" s="259" t="s">
        <v>993</v>
      </c>
    </row>
    <row r="156" spans="1:13" ht="18" customHeight="1">
      <c r="A156" s="284">
        <v>46158</v>
      </c>
      <c r="B156" s="38">
        <f t="shared" si="2"/>
        <v>20</v>
      </c>
      <c r="C156" s="259" t="s">
        <v>959</v>
      </c>
      <c r="D156" s="259"/>
      <c r="E156" s="258" t="s">
        <v>960</v>
      </c>
      <c r="F156" s="259" t="s">
        <v>961</v>
      </c>
      <c r="G156" s="259" t="s">
        <v>466</v>
      </c>
      <c r="H156" s="259" t="s">
        <v>466</v>
      </c>
      <c r="I156" s="259" t="s">
        <v>466</v>
      </c>
      <c r="J156" s="259" t="s">
        <v>962</v>
      </c>
      <c r="K156" s="258" t="s">
        <v>1116</v>
      </c>
      <c r="L156" s="260"/>
      <c r="M156" s="259"/>
    </row>
    <row r="157" spans="1:13" ht="18" customHeight="1">
      <c r="A157" s="284">
        <v>46159</v>
      </c>
      <c r="B157" s="38">
        <f t="shared" si="2"/>
        <v>21</v>
      </c>
      <c r="C157" s="259" t="s">
        <v>1043</v>
      </c>
      <c r="D157" s="259" t="s">
        <v>976</v>
      </c>
      <c r="E157" s="258" t="s">
        <v>914</v>
      </c>
      <c r="F157" s="259" t="s">
        <v>915</v>
      </c>
      <c r="G157" s="259" t="s">
        <v>916</v>
      </c>
      <c r="H157" s="259" t="s">
        <v>33</v>
      </c>
      <c r="I157" s="259" t="s">
        <v>32</v>
      </c>
      <c r="J157" s="259" t="s">
        <v>31</v>
      </c>
      <c r="K157" s="258" t="s">
        <v>977</v>
      </c>
      <c r="L157" s="260">
        <v>46161</v>
      </c>
      <c r="M157" s="259" t="s">
        <v>978</v>
      </c>
    </row>
    <row r="158" spans="1:13" ht="18" customHeight="1">
      <c r="A158" s="284">
        <v>46159</v>
      </c>
      <c r="B158" s="38">
        <f t="shared" si="2"/>
        <v>21</v>
      </c>
      <c r="C158" s="259" t="s">
        <v>1083</v>
      </c>
      <c r="D158" s="259" t="s">
        <v>72</v>
      </c>
      <c r="E158" s="258" t="s">
        <v>914</v>
      </c>
      <c r="F158" s="259" t="s">
        <v>915</v>
      </c>
      <c r="G158" s="259" t="s">
        <v>916</v>
      </c>
      <c r="H158" s="259" t="s">
        <v>30</v>
      </c>
      <c r="I158" s="259" t="s">
        <v>225</v>
      </c>
      <c r="J158" s="259" t="s">
        <v>224</v>
      </c>
      <c r="K158" s="258" t="s">
        <v>1084</v>
      </c>
      <c r="L158" s="260">
        <v>46163</v>
      </c>
      <c r="M158" s="259" t="s">
        <v>1002</v>
      </c>
    </row>
    <row r="159" spans="1:13" ht="18" customHeight="1">
      <c r="A159" s="284">
        <v>46159</v>
      </c>
      <c r="B159" s="38">
        <f t="shared" si="2"/>
        <v>21</v>
      </c>
      <c r="C159" s="259" t="s">
        <v>1125</v>
      </c>
      <c r="D159" s="259" t="s">
        <v>232</v>
      </c>
      <c r="E159" s="258" t="s">
        <v>914</v>
      </c>
      <c r="F159" s="259" t="s">
        <v>915</v>
      </c>
      <c r="G159" s="259" t="s">
        <v>916</v>
      </c>
      <c r="H159" s="259" t="s">
        <v>30</v>
      </c>
      <c r="I159" s="259" t="s">
        <v>32</v>
      </c>
      <c r="J159" s="259" t="s">
        <v>31</v>
      </c>
      <c r="K159" s="258" t="s">
        <v>1203</v>
      </c>
      <c r="L159" s="260">
        <v>46161</v>
      </c>
      <c r="M159" s="259" t="s">
        <v>1017</v>
      </c>
    </row>
    <row r="160" spans="1:13" ht="18" customHeight="1">
      <c r="A160" s="284">
        <v>46159</v>
      </c>
      <c r="B160" s="38">
        <f t="shared" si="2"/>
        <v>21</v>
      </c>
      <c r="C160" s="259" t="s">
        <v>234</v>
      </c>
      <c r="D160" s="259" t="s">
        <v>72</v>
      </c>
      <c r="E160" s="258" t="s">
        <v>924</v>
      </c>
      <c r="F160" s="259" t="s">
        <v>915</v>
      </c>
      <c r="G160" s="259" t="s">
        <v>916</v>
      </c>
      <c r="H160" s="259" t="s">
        <v>33</v>
      </c>
      <c r="I160" s="259" t="s">
        <v>235</v>
      </c>
      <c r="J160" s="259" t="s">
        <v>31</v>
      </c>
      <c r="K160" s="258" t="s">
        <v>1161</v>
      </c>
      <c r="L160" s="260">
        <v>46163</v>
      </c>
      <c r="M160" s="259" t="s">
        <v>1162</v>
      </c>
    </row>
    <row r="161" spans="1:13" ht="18" customHeight="1">
      <c r="A161" s="284">
        <v>46159</v>
      </c>
      <c r="B161" s="38">
        <f t="shared" si="2"/>
        <v>21</v>
      </c>
      <c r="C161" s="259" t="s">
        <v>219</v>
      </c>
      <c r="D161" s="259" t="s">
        <v>66</v>
      </c>
      <c r="E161" s="258" t="s">
        <v>924</v>
      </c>
      <c r="F161" s="259" t="s">
        <v>915</v>
      </c>
      <c r="G161" s="259" t="s">
        <v>916</v>
      </c>
      <c r="H161" s="259" t="s">
        <v>30</v>
      </c>
      <c r="I161" s="259" t="s">
        <v>225</v>
      </c>
      <c r="J161" s="259" t="s">
        <v>31</v>
      </c>
      <c r="K161" s="258" t="s">
        <v>1204</v>
      </c>
      <c r="L161" s="260">
        <v>46162</v>
      </c>
      <c r="M161" s="259" t="s">
        <v>1100</v>
      </c>
    </row>
    <row r="162" spans="1:13" ht="18" customHeight="1">
      <c r="A162" s="284">
        <v>46159</v>
      </c>
      <c r="B162" s="38">
        <f t="shared" si="2"/>
        <v>21</v>
      </c>
      <c r="C162" s="259" t="s">
        <v>477</v>
      </c>
      <c r="D162" s="259" t="s">
        <v>249</v>
      </c>
      <c r="E162" s="258" t="s">
        <v>924</v>
      </c>
      <c r="F162" s="259" t="s">
        <v>915</v>
      </c>
      <c r="G162" s="259" t="s">
        <v>916</v>
      </c>
      <c r="H162" s="259" t="s">
        <v>466</v>
      </c>
      <c r="I162" s="259" t="s">
        <v>466</v>
      </c>
      <c r="J162" s="259" t="s">
        <v>31</v>
      </c>
      <c r="K162" s="258" t="s">
        <v>1205</v>
      </c>
      <c r="L162" s="260">
        <v>46162</v>
      </c>
      <c r="M162" s="259" t="s">
        <v>1075</v>
      </c>
    </row>
    <row r="163" spans="1:13" ht="18" customHeight="1">
      <c r="A163" s="284">
        <v>46159</v>
      </c>
      <c r="B163" s="38">
        <f t="shared" si="2"/>
        <v>21</v>
      </c>
      <c r="C163" s="259" t="s">
        <v>1110</v>
      </c>
      <c r="D163" s="259" t="s">
        <v>415</v>
      </c>
      <c r="E163" s="258" t="s">
        <v>934</v>
      </c>
      <c r="F163" s="259" t="s">
        <v>915</v>
      </c>
      <c r="G163" s="259" t="s">
        <v>916</v>
      </c>
      <c r="H163" s="259" t="s">
        <v>30</v>
      </c>
      <c r="I163" s="259" t="s">
        <v>39</v>
      </c>
      <c r="J163" s="259" t="s">
        <v>40</v>
      </c>
      <c r="K163" s="258" t="s">
        <v>1111</v>
      </c>
      <c r="L163" s="260">
        <v>46163</v>
      </c>
      <c r="M163" s="259" t="s">
        <v>1112</v>
      </c>
    </row>
    <row r="164" spans="1:13" ht="18" customHeight="1">
      <c r="A164" s="284">
        <v>46159</v>
      </c>
      <c r="B164" s="38">
        <f t="shared" si="2"/>
        <v>21</v>
      </c>
      <c r="C164" s="261" t="s">
        <v>1140</v>
      </c>
      <c r="D164" s="259" t="s">
        <v>1010</v>
      </c>
      <c r="E164" s="258" t="s">
        <v>934</v>
      </c>
      <c r="F164" s="259" t="s">
        <v>915</v>
      </c>
      <c r="G164" s="259" t="s">
        <v>916</v>
      </c>
      <c r="H164" s="259" t="s">
        <v>30</v>
      </c>
      <c r="I164" s="259" t="s">
        <v>32</v>
      </c>
      <c r="J164" s="259" t="s">
        <v>37</v>
      </c>
      <c r="K164" s="291" t="s">
        <v>1011</v>
      </c>
      <c r="L164" s="260">
        <v>46162</v>
      </c>
      <c r="M164" s="261" t="s">
        <v>1012</v>
      </c>
    </row>
    <row r="165" spans="1:13" ht="18" customHeight="1">
      <c r="A165" s="284">
        <v>46159</v>
      </c>
      <c r="B165" s="38">
        <f t="shared" si="2"/>
        <v>21</v>
      </c>
      <c r="C165" s="261" t="s">
        <v>1141</v>
      </c>
      <c r="D165" s="259" t="s">
        <v>74</v>
      </c>
      <c r="E165" s="258" t="s">
        <v>942</v>
      </c>
      <c r="F165" s="259" t="s">
        <v>926</v>
      </c>
      <c r="G165" s="259" t="s">
        <v>916</v>
      </c>
      <c r="H165" s="259" t="s">
        <v>466</v>
      </c>
      <c r="I165" s="259" t="s">
        <v>466</v>
      </c>
      <c r="J165" s="259" t="s">
        <v>31</v>
      </c>
      <c r="K165" s="291" t="s">
        <v>1142</v>
      </c>
      <c r="L165" s="260">
        <v>46163</v>
      </c>
      <c r="M165" s="261" t="s">
        <v>1143</v>
      </c>
    </row>
    <row r="166" spans="1:13" ht="18" customHeight="1">
      <c r="A166" s="284">
        <v>46159</v>
      </c>
      <c r="B166" s="38">
        <f t="shared" si="2"/>
        <v>21</v>
      </c>
      <c r="C166" s="261" t="s">
        <v>1080</v>
      </c>
      <c r="D166" s="259" t="s">
        <v>64</v>
      </c>
      <c r="E166" s="258" t="s">
        <v>946</v>
      </c>
      <c r="F166" s="259" t="s">
        <v>926</v>
      </c>
      <c r="G166" s="259" t="s">
        <v>916</v>
      </c>
      <c r="H166" s="259" t="s">
        <v>30</v>
      </c>
      <c r="I166" s="259" t="s">
        <v>225</v>
      </c>
      <c r="J166" s="259" t="s">
        <v>31</v>
      </c>
      <c r="K166" s="291" t="s">
        <v>1206</v>
      </c>
      <c r="L166" s="260">
        <v>46162</v>
      </c>
      <c r="M166" s="261" t="s">
        <v>1024</v>
      </c>
    </row>
    <row r="167" spans="1:13" ht="18" customHeight="1">
      <c r="A167" s="284">
        <v>46159</v>
      </c>
      <c r="B167" s="38">
        <f t="shared" si="2"/>
        <v>21</v>
      </c>
      <c r="C167" s="261" t="s">
        <v>959</v>
      </c>
      <c r="D167" s="259"/>
      <c r="E167" s="258" t="s">
        <v>960</v>
      </c>
      <c r="F167" s="259" t="s">
        <v>961</v>
      </c>
      <c r="G167" s="259" t="s">
        <v>466</v>
      </c>
      <c r="H167" s="259" t="s">
        <v>466</v>
      </c>
      <c r="I167" s="259" t="s">
        <v>466</v>
      </c>
      <c r="J167" s="259" t="s">
        <v>962</v>
      </c>
      <c r="K167" s="291" t="s">
        <v>1134</v>
      </c>
      <c r="L167" s="260"/>
      <c r="M167" s="261"/>
    </row>
    <row r="168" spans="1:13" ht="18" customHeight="1">
      <c r="A168" s="284">
        <v>46160</v>
      </c>
      <c r="B168" s="38">
        <f t="shared" si="2"/>
        <v>21</v>
      </c>
      <c r="C168" s="261" t="s">
        <v>937</v>
      </c>
      <c r="D168" s="259" t="s">
        <v>72</v>
      </c>
      <c r="E168" s="258" t="s">
        <v>914</v>
      </c>
      <c r="F168" s="259" t="s">
        <v>915</v>
      </c>
      <c r="G168" s="259" t="s">
        <v>916</v>
      </c>
      <c r="H168" s="259" t="s">
        <v>33</v>
      </c>
      <c r="I168" s="259" t="s">
        <v>32</v>
      </c>
      <c r="J168" s="259" t="s">
        <v>31</v>
      </c>
      <c r="K168" s="291" t="s">
        <v>1207</v>
      </c>
      <c r="L168" s="260">
        <v>46162</v>
      </c>
      <c r="M168" s="261" t="s">
        <v>1138</v>
      </c>
    </row>
    <row r="169" spans="1:13" ht="18" customHeight="1">
      <c r="A169" s="284">
        <v>46160</v>
      </c>
      <c r="B169" s="38">
        <f t="shared" si="2"/>
        <v>21</v>
      </c>
      <c r="C169" s="261" t="s">
        <v>563</v>
      </c>
      <c r="D169" s="259" t="s">
        <v>68</v>
      </c>
      <c r="E169" s="258" t="s">
        <v>914</v>
      </c>
      <c r="F169" s="259" t="s">
        <v>915</v>
      </c>
      <c r="G169" s="259" t="s">
        <v>916</v>
      </c>
      <c r="H169" s="259" t="s">
        <v>466</v>
      </c>
      <c r="I169" s="259" t="s">
        <v>466</v>
      </c>
      <c r="J169" s="259" t="s">
        <v>31</v>
      </c>
      <c r="K169" s="291" t="s">
        <v>1208</v>
      </c>
      <c r="L169" s="260">
        <v>46163</v>
      </c>
      <c r="M169" s="261" t="s">
        <v>1067</v>
      </c>
    </row>
    <row r="170" spans="1:13" ht="18" customHeight="1">
      <c r="A170" s="284">
        <v>46160</v>
      </c>
      <c r="B170" s="38">
        <f t="shared" si="2"/>
        <v>21</v>
      </c>
      <c r="C170" s="261" t="s">
        <v>1005</v>
      </c>
      <c r="D170" s="259" t="s">
        <v>1006</v>
      </c>
      <c r="E170" s="258" t="s">
        <v>924</v>
      </c>
      <c r="F170" s="259" t="s">
        <v>915</v>
      </c>
      <c r="G170" s="259" t="s">
        <v>916</v>
      </c>
      <c r="H170" s="259" t="s">
        <v>33</v>
      </c>
      <c r="I170" s="259" t="s">
        <v>32</v>
      </c>
      <c r="J170" s="259" t="s">
        <v>37</v>
      </c>
      <c r="K170" s="291" t="s">
        <v>1209</v>
      </c>
      <c r="L170" s="260">
        <v>46163</v>
      </c>
      <c r="M170" s="261" t="s">
        <v>1152</v>
      </c>
    </row>
    <row r="171" spans="1:13" ht="18" customHeight="1">
      <c r="A171" s="284">
        <v>46160</v>
      </c>
      <c r="B171" s="38">
        <f t="shared" si="2"/>
        <v>21</v>
      </c>
      <c r="C171" s="261" t="s">
        <v>1153</v>
      </c>
      <c r="D171" s="259" t="s">
        <v>956</v>
      </c>
      <c r="E171" s="258" t="s">
        <v>924</v>
      </c>
      <c r="F171" s="259" t="s">
        <v>915</v>
      </c>
      <c r="G171" s="259" t="s">
        <v>916</v>
      </c>
      <c r="H171" s="259" t="s">
        <v>30</v>
      </c>
      <c r="I171" s="259" t="s">
        <v>235</v>
      </c>
      <c r="J171" s="259" t="s">
        <v>42</v>
      </c>
      <c r="K171" s="291" t="s">
        <v>1154</v>
      </c>
      <c r="L171" s="260">
        <v>46163</v>
      </c>
      <c r="M171" s="261" t="s">
        <v>1017</v>
      </c>
    </row>
    <row r="172" spans="1:13" ht="18" customHeight="1">
      <c r="A172" s="284">
        <v>46160</v>
      </c>
      <c r="B172" s="38">
        <f t="shared" si="2"/>
        <v>21</v>
      </c>
      <c r="C172" s="261" t="s">
        <v>1059</v>
      </c>
      <c r="D172" s="259" t="s">
        <v>518</v>
      </c>
      <c r="E172" s="258" t="s">
        <v>924</v>
      </c>
      <c r="F172" s="259" t="s">
        <v>915</v>
      </c>
      <c r="G172" s="259" t="s">
        <v>916</v>
      </c>
      <c r="H172" s="259" t="s">
        <v>30</v>
      </c>
      <c r="I172" s="259" t="s">
        <v>225</v>
      </c>
      <c r="J172" s="259" t="s">
        <v>34</v>
      </c>
      <c r="K172" s="291" t="s">
        <v>1158</v>
      </c>
      <c r="L172" s="260">
        <v>46163</v>
      </c>
      <c r="M172" s="261" t="s">
        <v>1061</v>
      </c>
    </row>
    <row r="173" spans="1:13" ht="18" customHeight="1">
      <c r="A173" s="284">
        <v>46160</v>
      </c>
      <c r="B173" s="38">
        <f t="shared" si="2"/>
        <v>21</v>
      </c>
      <c r="C173" s="261" t="s">
        <v>1127</v>
      </c>
      <c r="D173" s="259" t="s">
        <v>509</v>
      </c>
      <c r="E173" s="258" t="s">
        <v>934</v>
      </c>
      <c r="F173" s="259" t="s">
        <v>915</v>
      </c>
      <c r="G173" s="259" t="s">
        <v>916</v>
      </c>
      <c r="H173" s="259" t="s">
        <v>30</v>
      </c>
      <c r="I173" s="259" t="s">
        <v>32</v>
      </c>
      <c r="J173" s="259" t="s">
        <v>31</v>
      </c>
      <c r="K173" s="291" t="s">
        <v>1210</v>
      </c>
      <c r="L173" s="260">
        <v>46162</v>
      </c>
      <c r="M173" s="261" t="s">
        <v>1129</v>
      </c>
    </row>
    <row r="174" spans="1:13" ht="18" customHeight="1">
      <c r="A174" s="284">
        <v>46160</v>
      </c>
      <c r="B174" s="38">
        <f t="shared" si="2"/>
        <v>21</v>
      </c>
      <c r="C174" s="261" t="s">
        <v>1077</v>
      </c>
      <c r="D174" s="259" t="s">
        <v>524</v>
      </c>
      <c r="E174" s="258" t="s">
        <v>934</v>
      </c>
      <c r="F174" s="259" t="s">
        <v>915</v>
      </c>
      <c r="G174" s="259" t="s">
        <v>916</v>
      </c>
      <c r="H174" s="259" t="s">
        <v>30</v>
      </c>
      <c r="I174" s="259" t="s">
        <v>225</v>
      </c>
      <c r="J174" s="259" t="s">
        <v>34</v>
      </c>
      <c r="K174" s="291" t="s">
        <v>997</v>
      </c>
      <c r="L174" s="260">
        <v>46163</v>
      </c>
      <c r="M174" s="261" t="s">
        <v>998</v>
      </c>
    </row>
    <row r="175" spans="1:13" ht="18" customHeight="1">
      <c r="A175" s="284">
        <v>46160</v>
      </c>
      <c r="B175" s="38">
        <f t="shared" si="2"/>
        <v>21</v>
      </c>
      <c r="C175" s="261" t="s">
        <v>1171</v>
      </c>
      <c r="D175" s="259" t="s">
        <v>976</v>
      </c>
      <c r="E175" s="258" t="s">
        <v>942</v>
      </c>
      <c r="F175" s="259" t="s">
        <v>926</v>
      </c>
      <c r="G175" s="259" t="s">
        <v>916</v>
      </c>
      <c r="H175" s="259" t="s">
        <v>33</v>
      </c>
      <c r="I175" s="259" t="s">
        <v>32</v>
      </c>
      <c r="J175" s="259" t="s">
        <v>31</v>
      </c>
      <c r="K175" s="291" t="s">
        <v>1172</v>
      </c>
      <c r="L175" s="260">
        <v>46163</v>
      </c>
      <c r="M175" s="261" t="s">
        <v>978</v>
      </c>
    </row>
    <row r="176" spans="1:13" ht="18" customHeight="1">
      <c r="A176" s="284">
        <v>46160</v>
      </c>
      <c r="B176" s="38">
        <f t="shared" si="2"/>
        <v>21</v>
      </c>
      <c r="C176" s="261" t="s">
        <v>1028</v>
      </c>
      <c r="D176" s="259"/>
      <c r="E176" s="258" t="s">
        <v>950</v>
      </c>
      <c r="F176" s="259" t="s">
        <v>990</v>
      </c>
      <c r="G176" s="259" t="s">
        <v>991</v>
      </c>
      <c r="H176" s="259" t="s">
        <v>466</v>
      </c>
      <c r="I176" s="259" t="s">
        <v>466</v>
      </c>
      <c r="J176" s="259" t="s">
        <v>31</v>
      </c>
      <c r="K176" s="291" t="s">
        <v>1144</v>
      </c>
      <c r="L176" s="260">
        <v>46163</v>
      </c>
      <c r="M176" s="261" t="s">
        <v>993</v>
      </c>
    </row>
    <row r="177" spans="1:13" ht="18" customHeight="1">
      <c r="A177" s="284">
        <v>46160</v>
      </c>
      <c r="B177" s="38">
        <f t="shared" si="2"/>
        <v>21</v>
      </c>
      <c r="C177" s="261" t="s">
        <v>959</v>
      </c>
      <c r="D177" s="259"/>
      <c r="E177" s="258" t="s">
        <v>960</v>
      </c>
      <c r="F177" s="259" t="s">
        <v>961</v>
      </c>
      <c r="G177" s="259" t="s">
        <v>466</v>
      </c>
      <c r="H177" s="259" t="s">
        <v>466</v>
      </c>
      <c r="I177" s="259" t="s">
        <v>466</v>
      </c>
      <c r="J177" s="259" t="s">
        <v>962</v>
      </c>
      <c r="K177" s="291" t="s">
        <v>1147</v>
      </c>
      <c r="L177" s="260"/>
      <c r="M177" s="261"/>
    </row>
    <row r="178" spans="1:13" ht="18" customHeight="1">
      <c r="A178" s="284">
        <v>46161</v>
      </c>
      <c r="B178" s="38">
        <f t="shared" si="2"/>
        <v>21</v>
      </c>
      <c r="C178" s="261" t="s">
        <v>219</v>
      </c>
      <c r="D178" s="259" t="s">
        <v>66</v>
      </c>
      <c r="E178" s="258" t="s">
        <v>914</v>
      </c>
      <c r="F178" s="259" t="s">
        <v>915</v>
      </c>
      <c r="G178" s="259" t="s">
        <v>916</v>
      </c>
      <c r="H178" s="259" t="s">
        <v>30</v>
      </c>
      <c r="I178" s="259" t="s">
        <v>225</v>
      </c>
      <c r="J178" s="259" t="s">
        <v>31</v>
      </c>
      <c r="K178" s="291" t="s">
        <v>1211</v>
      </c>
      <c r="L178" s="260">
        <v>46163</v>
      </c>
      <c r="M178" s="261" t="s">
        <v>1212</v>
      </c>
    </row>
    <row r="179" spans="1:13" ht="18" customHeight="1">
      <c r="A179" s="284">
        <v>46161</v>
      </c>
      <c r="B179" s="38">
        <f t="shared" si="2"/>
        <v>21</v>
      </c>
      <c r="C179" s="261" t="s">
        <v>1124</v>
      </c>
      <c r="D179" s="259" t="s">
        <v>70</v>
      </c>
      <c r="E179" s="258" t="s">
        <v>914</v>
      </c>
      <c r="F179" s="259" t="s">
        <v>915</v>
      </c>
      <c r="G179" s="259" t="s">
        <v>916</v>
      </c>
      <c r="H179" s="259" t="s">
        <v>30</v>
      </c>
      <c r="I179" s="259" t="s">
        <v>32</v>
      </c>
      <c r="J179" s="259" t="s">
        <v>34</v>
      </c>
      <c r="K179" s="291" t="s">
        <v>1188</v>
      </c>
      <c r="L179" s="260">
        <v>46163</v>
      </c>
      <c r="M179" s="261" t="s">
        <v>1152</v>
      </c>
    </row>
    <row r="180" spans="1:13" ht="18" customHeight="1">
      <c r="A180" s="284">
        <v>46161</v>
      </c>
      <c r="B180" s="38">
        <f t="shared" si="2"/>
        <v>21</v>
      </c>
      <c r="C180" s="261" t="s">
        <v>469</v>
      </c>
      <c r="D180" s="259" t="s">
        <v>58</v>
      </c>
      <c r="E180" s="258" t="s">
        <v>914</v>
      </c>
      <c r="F180" s="259" t="s">
        <v>915</v>
      </c>
      <c r="G180" s="259" t="s">
        <v>916</v>
      </c>
      <c r="H180" s="259" t="s">
        <v>30</v>
      </c>
      <c r="I180" s="259" t="s">
        <v>32</v>
      </c>
      <c r="J180" s="259" t="s">
        <v>34</v>
      </c>
      <c r="K180" s="291" t="s">
        <v>1213</v>
      </c>
      <c r="L180" s="260">
        <v>46163</v>
      </c>
      <c r="M180" s="261" t="s">
        <v>985</v>
      </c>
    </row>
    <row r="181" spans="1:13" ht="18" customHeight="1">
      <c r="A181" s="284">
        <v>46161</v>
      </c>
      <c r="B181" s="38">
        <f t="shared" si="2"/>
        <v>21</v>
      </c>
      <c r="C181" s="261" t="s">
        <v>423</v>
      </c>
      <c r="D181" s="259" t="s">
        <v>422</v>
      </c>
      <c r="E181" s="258" t="s">
        <v>924</v>
      </c>
      <c r="F181" s="259" t="s">
        <v>915</v>
      </c>
      <c r="G181" s="259" t="s">
        <v>916</v>
      </c>
      <c r="H181" s="259" t="s">
        <v>466</v>
      </c>
      <c r="I181" s="259" t="s">
        <v>466</v>
      </c>
      <c r="J181" s="259" t="s">
        <v>34</v>
      </c>
      <c r="K181" s="291" t="s">
        <v>1167</v>
      </c>
      <c r="L181" s="260">
        <v>46167</v>
      </c>
      <c r="M181" s="261" t="s">
        <v>1004</v>
      </c>
    </row>
    <row r="182" spans="1:13" ht="18" customHeight="1">
      <c r="A182" s="284">
        <v>46161</v>
      </c>
      <c r="B182" s="38">
        <f t="shared" si="2"/>
        <v>21</v>
      </c>
      <c r="C182" s="261" t="s">
        <v>558</v>
      </c>
      <c r="D182" s="259" t="s">
        <v>83</v>
      </c>
      <c r="E182" s="258" t="s">
        <v>924</v>
      </c>
      <c r="F182" s="259" t="s">
        <v>915</v>
      </c>
      <c r="G182" s="259" t="s">
        <v>916</v>
      </c>
      <c r="H182" s="259" t="s">
        <v>466</v>
      </c>
      <c r="I182" s="259" t="s">
        <v>466</v>
      </c>
      <c r="J182" s="259" t="s">
        <v>31</v>
      </c>
      <c r="K182" s="291" t="s">
        <v>1214</v>
      </c>
      <c r="L182" s="260">
        <v>46167</v>
      </c>
      <c r="M182" s="261" t="s">
        <v>1004</v>
      </c>
    </row>
    <row r="183" spans="1:13" ht="18" customHeight="1">
      <c r="A183" s="284">
        <v>46161</v>
      </c>
      <c r="B183" s="38">
        <f t="shared" si="2"/>
        <v>21</v>
      </c>
      <c r="C183" s="261" t="s">
        <v>535</v>
      </c>
      <c r="D183" s="259" t="s">
        <v>543</v>
      </c>
      <c r="E183" s="258" t="s">
        <v>924</v>
      </c>
      <c r="F183" s="259" t="s">
        <v>915</v>
      </c>
      <c r="G183" s="259" t="s">
        <v>916</v>
      </c>
      <c r="H183" s="259" t="s">
        <v>466</v>
      </c>
      <c r="I183" s="259" t="s">
        <v>466</v>
      </c>
      <c r="J183" s="259" t="s">
        <v>31</v>
      </c>
      <c r="K183" s="291" t="s">
        <v>1176</v>
      </c>
      <c r="L183" s="260">
        <v>46167</v>
      </c>
      <c r="M183" s="261" t="s">
        <v>1177</v>
      </c>
    </row>
    <row r="184" spans="1:13" ht="18" customHeight="1">
      <c r="A184" s="284">
        <v>46161</v>
      </c>
      <c r="B184" s="38">
        <f t="shared" si="2"/>
        <v>21</v>
      </c>
      <c r="C184" s="261" t="s">
        <v>240</v>
      </c>
      <c r="D184" s="259" t="s">
        <v>241</v>
      </c>
      <c r="E184" s="258" t="s">
        <v>934</v>
      </c>
      <c r="F184" s="259" t="s">
        <v>915</v>
      </c>
      <c r="G184" s="259" t="s">
        <v>916</v>
      </c>
      <c r="H184" s="259" t="s">
        <v>30</v>
      </c>
      <c r="I184" s="259" t="s">
        <v>32</v>
      </c>
      <c r="J184" s="259" t="s">
        <v>40</v>
      </c>
      <c r="K184" s="291" t="s">
        <v>1215</v>
      </c>
      <c r="L184" s="260">
        <v>46163</v>
      </c>
      <c r="M184" s="261" t="s">
        <v>1102</v>
      </c>
    </row>
    <row r="185" spans="1:13" ht="18" customHeight="1">
      <c r="A185" s="284">
        <v>46161</v>
      </c>
      <c r="B185" s="38">
        <f t="shared" si="2"/>
        <v>21</v>
      </c>
      <c r="C185" s="261" t="s">
        <v>243</v>
      </c>
      <c r="D185" s="259" t="s">
        <v>241</v>
      </c>
      <c r="E185" s="258" t="s">
        <v>934</v>
      </c>
      <c r="F185" s="259" t="s">
        <v>915</v>
      </c>
      <c r="G185" s="259" t="s">
        <v>916</v>
      </c>
      <c r="H185" s="259" t="s">
        <v>30</v>
      </c>
      <c r="I185" s="259" t="s">
        <v>32</v>
      </c>
      <c r="J185" s="259" t="s">
        <v>40</v>
      </c>
      <c r="K185" s="291" t="s">
        <v>1216</v>
      </c>
      <c r="L185" s="260">
        <v>46167</v>
      </c>
      <c r="M185" s="261" t="s">
        <v>1012</v>
      </c>
    </row>
    <row r="186" spans="1:13" ht="18" customHeight="1">
      <c r="A186" s="284">
        <v>46161</v>
      </c>
      <c r="B186" s="38">
        <f t="shared" si="2"/>
        <v>21</v>
      </c>
      <c r="C186" s="261" t="s">
        <v>1168</v>
      </c>
      <c r="D186" s="259" t="s">
        <v>582</v>
      </c>
      <c r="E186" s="258" t="s">
        <v>942</v>
      </c>
      <c r="F186" s="259" t="s">
        <v>926</v>
      </c>
      <c r="G186" s="259" t="s">
        <v>916</v>
      </c>
      <c r="H186" s="259" t="s">
        <v>30</v>
      </c>
      <c r="I186" s="259" t="s">
        <v>39</v>
      </c>
      <c r="J186" s="259" t="s">
        <v>31</v>
      </c>
      <c r="K186" s="291" t="s">
        <v>1217</v>
      </c>
      <c r="L186" s="260">
        <v>46167</v>
      </c>
      <c r="M186" s="261" t="s">
        <v>1170</v>
      </c>
    </row>
    <row r="187" spans="1:13" ht="18" customHeight="1">
      <c r="A187" s="284">
        <v>46161</v>
      </c>
      <c r="B187" s="38">
        <f t="shared" si="2"/>
        <v>21</v>
      </c>
      <c r="C187" s="261" t="s">
        <v>1173</v>
      </c>
      <c r="D187" s="259"/>
      <c r="E187" s="258" t="s">
        <v>950</v>
      </c>
      <c r="F187" s="259" t="s">
        <v>990</v>
      </c>
      <c r="G187" s="259" t="s">
        <v>991</v>
      </c>
      <c r="H187" s="259" t="s">
        <v>466</v>
      </c>
      <c r="I187" s="259" t="s">
        <v>466</v>
      </c>
      <c r="J187" s="259" t="s">
        <v>31</v>
      </c>
      <c r="K187" s="291" t="s">
        <v>1174</v>
      </c>
      <c r="L187" s="260">
        <v>46167</v>
      </c>
      <c r="M187" s="261" t="s">
        <v>1087</v>
      </c>
    </row>
    <row r="188" spans="1:13" ht="18" customHeight="1">
      <c r="A188" s="284">
        <v>46161</v>
      </c>
      <c r="B188" s="38">
        <f t="shared" si="2"/>
        <v>21</v>
      </c>
      <c r="C188" s="261" t="s">
        <v>959</v>
      </c>
      <c r="D188" s="259"/>
      <c r="E188" s="258" t="s">
        <v>960</v>
      </c>
      <c r="F188" s="259" t="s">
        <v>961</v>
      </c>
      <c r="G188" s="259" t="s">
        <v>466</v>
      </c>
      <c r="H188" s="259" t="s">
        <v>466</v>
      </c>
      <c r="I188" s="259" t="s">
        <v>466</v>
      </c>
      <c r="J188" s="259" t="s">
        <v>962</v>
      </c>
      <c r="K188" s="291" t="s">
        <v>1159</v>
      </c>
      <c r="L188" s="260"/>
      <c r="M188" s="261"/>
    </row>
    <row r="189" spans="1:13" ht="18" customHeight="1">
      <c r="A189" s="285">
        <v>46162</v>
      </c>
      <c r="B189" s="38">
        <f t="shared" si="2"/>
        <v>21</v>
      </c>
      <c r="C189" s="261" t="s">
        <v>1043</v>
      </c>
      <c r="D189" s="259" t="s">
        <v>976</v>
      </c>
      <c r="E189" s="258" t="s">
        <v>914</v>
      </c>
      <c r="F189" s="259" t="s">
        <v>915</v>
      </c>
      <c r="G189" s="259" t="s">
        <v>916</v>
      </c>
      <c r="H189" s="259" t="s">
        <v>33</v>
      </c>
      <c r="I189" s="259" t="s">
        <v>32</v>
      </c>
      <c r="J189" s="259" t="s">
        <v>31</v>
      </c>
      <c r="K189" s="291" t="s">
        <v>1218</v>
      </c>
      <c r="L189" s="260">
        <v>46167</v>
      </c>
      <c r="M189" s="261" t="s">
        <v>1069</v>
      </c>
    </row>
    <row r="190" spans="1:13" ht="18" customHeight="1">
      <c r="A190" s="285">
        <v>46162</v>
      </c>
      <c r="B190" s="38">
        <f t="shared" si="2"/>
        <v>21</v>
      </c>
      <c r="C190" s="261" t="s">
        <v>1107</v>
      </c>
      <c r="D190" s="259" t="s">
        <v>64</v>
      </c>
      <c r="E190" s="258" t="s">
        <v>914</v>
      </c>
      <c r="F190" s="259" t="s">
        <v>915</v>
      </c>
      <c r="G190" s="259" t="s">
        <v>916</v>
      </c>
      <c r="H190" s="259" t="s">
        <v>30</v>
      </c>
      <c r="I190" s="259" t="s">
        <v>225</v>
      </c>
      <c r="J190" s="259" t="s">
        <v>31</v>
      </c>
      <c r="K190" s="291" t="s">
        <v>1219</v>
      </c>
      <c r="L190" s="260">
        <v>46167</v>
      </c>
      <c r="M190" s="261" t="s">
        <v>1012</v>
      </c>
    </row>
    <row r="191" spans="1:13" ht="18" customHeight="1">
      <c r="A191" s="285">
        <v>46162</v>
      </c>
      <c r="B191" s="38">
        <f t="shared" si="2"/>
        <v>21</v>
      </c>
      <c r="C191" s="261" t="s">
        <v>594</v>
      </c>
      <c r="D191" s="259" t="s">
        <v>78</v>
      </c>
      <c r="E191" s="258" t="s">
        <v>914</v>
      </c>
      <c r="F191" s="259" t="s">
        <v>915</v>
      </c>
      <c r="G191" s="259" t="s">
        <v>916</v>
      </c>
      <c r="H191" s="259" t="s">
        <v>30</v>
      </c>
      <c r="I191" s="259" t="s">
        <v>39</v>
      </c>
      <c r="J191" s="259" t="s">
        <v>34</v>
      </c>
      <c r="K191" s="291" t="s">
        <v>1220</v>
      </c>
      <c r="L191" s="260">
        <v>46167</v>
      </c>
      <c r="M191" s="261" t="s">
        <v>988</v>
      </c>
    </row>
    <row r="192" spans="1:13" ht="18" customHeight="1">
      <c r="A192" s="285">
        <v>46162</v>
      </c>
      <c r="B192" s="38">
        <f t="shared" si="2"/>
        <v>21</v>
      </c>
      <c r="C192" s="261" t="s">
        <v>1140</v>
      </c>
      <c r="D192" s="259" t="s">
        <v>1010</v>
      </c>
      <c r="E192" s="258" t="s">
        <v>924</v>
      </c>
      <c r="F192" s="259" t="s">
        <v>915</v>
      </c>
      <c r="G192" s="259" t="s">
        <v>916</v>
      </c>
      <c r="H192" s="259" t="s">
        <v>30</v>
      </c>
      <c r="I192" s="259" t="s">
        <v>32</v>
      </c>
      <c r="J192" s="259" t="s">
        <v>37</v>
      </c>
      <c r="K192" s="291" t="s">
        <v>1221</v>
      </c>
      <c r="L192" s="260">
        <v>46167</v>
      </c>
      <c r="M192" s="261" t="s">
        <v>1100</v>
      </c>
    </row>
    <row r="193" spans="1:13" ht="18" customHeight="1">
      <c r="A193" s="285">
        <v>46162</v>
      </c>
      <c r="B193" s="38">
        <f t="shared" si="2"/>
        <v>21</v>
      </c>
      <c r="C193" s="261" t="s">
        <v>477</v>
      </c>
      <c r="D193" s="259" t="s">
        <v>249</v>
      </c>
      <c r="E193" s="258" t="s">
        <v>924</v>
      </c>
      <c r="F193" s="259" t="s">
        <v>915</v>
      </c>
      <c r="G193" s="259" t="s">
        <v>916</v>
      </c>
      <c r="H193" s="259" t="s">
        <v>466</v>
      </c>
      <c r="I193" s="259" t="s">
        <v>466</v>
      </c>
      <c r="J193" s="259" t="s">
        <v>31</v>
      </c>
      <c r="K193" s="291" t="s">
        <v>1115</v>
      </c>
      <c r="L193" s="260">
        <v>46167</v>
      </c>
      <c r="M193" s="261" t="s">
        <v>965</v>
      </c>
    </row>
    <row r="194" spans="1:13" ht="18" customHeight="1">
      <c r="A194" s="285">
        <v>46162</v>
      </c>
      <c r="B194" s="38">
        <f t="shared" ref="B194:B257" si="3">WEEKNUM(A194)</f>
        <v>21</v>
      </c>
      <c r="C194" s="261" t="s">
        <v>219</v>
      </c>
      <c r="D194" s="259" t="s">
        <v>66</v>
      </c>
      <c r="E194" s="258" t="s">
        <v>924</v>
      </c>
      <c r="F194" s="259" t="s">
        <v>915</v>
      </c>
      <c r="G194" s="259" t="s">
        <v>916</v>
      </c>
      <c r="H194" s="259" t="s">
        <v>30</v>
      </c>
      <c r="I194" s="259" t="s">
        <v>225</v>
      </c>
      <c r="J194" s="259" t="s">
        <v>31</v>
      </c>
      <c r="K194" s="291" t="s">
        <v>1222</v>
      </c>
      <c r="L194" s="260">
        <v>46167</v>
      </c>
      <c r="M194" s="261" t="s">
        <v>1073</v>
      </c>
    </row>
    <row r="195" spans="1:13" ht="18" customHeight="1">
      <c r="A195" s="285">
        <v>46162</v>
      </c>
      <c r="B195" s="38">
        <f t="shared" si="3"/>
        <v>21</v>
      </c>
      <c r="C195" s="261" t="s">
        <v>1125</v>
      </c>
      <c r="D195" s="259" t="s">
        <v>232</v>
      </c>
      <c r="E195" s="258" t="s">
        <v>934</v>
      </c>
      <c r="F195" s="259" t="s">
        <v>915</v>
      </c>
      <c r="G195" s="259" t="s">
        <v>916</v>
      </c>
      <c r="H195" s="259" t="s">
        <v>30</v>
      </c>
      <c r="I195" s="259" t="s">
        <v>32</v>
      </c>
      <c r="J195" s="259" t="s">
        <v>31</v>
      </c>
      <c r="K195" s="291" t="s">
        <v>1166</v>
      </c>
      <c r="L195" s="260">
        <v>46167</v>
      </c>
      <c r="M195" s="261" t="s">
        <v>1017</v>
      </c>
    </row>
    <row r="196" spans="1:13" ht="18" customHeight="1">
      <c r="A196" s="285">
        <v>46162</v>
      </c>
      <c r="B196" s="38">
        <f t="shared" si="3"/>
        <v>21</v>
      </c>
      <c r="C196" s="261" t="s">
        <v>930</v>
      </c>
      <c r="D196" s="259" t="s">
        <v>574</v>
      </c>
      <c r="E196" s="258" t="s">
        <v>934</v>
      </c>
      <c r="F196" s="259" t="s">
        <v>915</v>
      </c>
      <c r="G196" s="259" t="s">
        <v>916</v>
      </c>
      <c r="H196" s="259" t="s">
        <v>466</v>
      </c>
      <c r="I196" s="259" t="s">
        <v>466</v>
      </c>
      <c r="J196" s="259" t="s">
        <v>31</v>
      </c>
      <c r="K196" s="291" t="s">
        <v>1223</v>
      </c>
      <c r="L196" s="260">
        <v>46167</v>
      </c>
      <c r="M196" s="261" t="s">
        <v>1224</v>
      </c>
    </row>
    <row r="197" spans="1:13" ht="18" customHeight="1">
      <c r="A197" s="285">
        <v>46162</v>
      </c>
      <c r="B197" s="38">
        <f t="shared" si="3"/>
        <v>21</v>
      </c>
      <c r="C197" s="261" t="s">
        <v>535</v>
      </c>
      <c r="D197" s="259" t="s">
        <v>76</v>
      </c>
      <c r="E197" s="258" t="s">
        <v>942</v>
      </c>
      <c r="F197" s="259" t="s">
        <v>926</v>
      </c>
      <c r="G197" s="259" t="s">
        <v>916</v>
      </c>
      <c r="H197" s="259" t="s">
        <v>466</v>
      </c>
      <c r="I197" s="259" t="s">
        <v>466</v>
      </c>
      <c r="J197" s="259" t="s">
        <v>31</v>
      </c>
      <c r="K197" s="291" t="s">
        <v>1225</v>
      </c>
      <c r="L197" s="260">
        <v>46167</v>
      </c>
      <c r="M197" s="261" t="s">
        <v>1226</v>
      </c>
    </row>
    <row r="198" spans="1:13" ht="18" customHeight="1">
      <c r="A198" s="285">
        <v>46162</v>
      </c>
      <c r="B198" s="38">
        <f t="shared" si="3"/>
        <v>21</v>
      </c>
      <c r="C198" s="261" t="s">
        <v>1192</v>
      </c>
      <c r="D198" s="259"/>
      <c r="E198" s="258" t="s">
        <v>950</v>
      </c>
      <c r="F198" s="259" t="s">
        <v>990</v>
      </c>
      <c r="G198" s="259" t="s">
        <v>991</v>
      </c>
      <c r="H198" s="259" t="s">
        <v>466</v>
      </c>
      <c r="I198" s="259" t="s">
        <v>466</v>
      </c>
      <c r="J198" s="259" t="s">
        <v>31</v>
      </c>
      <c r="K198" s="291" t="s">
        <v>1193</v>
      </c>
      <c r="L198" s="260">
        <v>46167</v>
      </c>
      <c r="M198" s="261" t="s">
        <v>1089</v>
      </c>
    </row>
    <row r="199" spans="1:13" ht="18" customHeight="1">
      <c r="A199" s="285">
        <v>46162</v>
      </c>
      <c r="B199" s="38">
        <f t="shared" si="3"/>
        <v>21</v>
      </c>
      <c r="C199" s="261" t="s">
        <v>959</v>
      </c>
      <c r="D199" s="259"/>
      <c r="E199" s="258" t="s">
        <v>960</v>
      </c>
      <c r="F199" s="259" t="s">
        <v>961</v>
      </c>
      <c r="G199" s="259" t="s">
        <v>466</v>
      </c>
      <c r="H199" s="259" t="s">
        <v>466</v>
      </c>
      <c r="I199" s="259" t="s">
        <v>466</v>
      </c>
      <c r="J199" s="259" t="s">
        <v>962</v>
      </c>
      <c r="K199" s="291" t="s">
        <v>1178</v>
      </c>
      <c r="L199" s="260"/>
      <c r="M199" s="261"/>
    </row>
    <row r="200" spans="1:13" ht="18" customHeight="1">
      <c r="A200" s="284">
        <v>46163</v>
      </c>
      <c r="B200" s="38">
        <f t="shared" si="3"/>
        <v>21</v>
      </c>
      <c r="C200" s="261" t="s">
        <v>1083</v>
      </c>
      <c r="D200" s="259" t="s">
        <v>72</v>
      </c>
      <c r="E200" s="258" t="s">
        <v>914</v>
      </c>
      <c r="F200" s="259" t="s">
        <v>915</v>
      </c>
      <c r="G200" s="259" t="s">
        <v>916</v>
      </c>
      <c r="H200" s="259" t="s">
        <v>30</v>
      </c>
      <c r="I200" s="259" t="s">
        <v>225</v>
      </c>
      <c r="J200" s="259" t="s">
        <v>224</v>
      </c>
      <c r="K200" s="291" t="s">
        <v>1189</v>
      </c>
      <c r="L200" s="260">
        <v>46170</v>
      </c>
      <c r="M200" s="261" t="s">
        <v>1190</v>
      </c>
    </row>
    <row r="201" spans="1:13" ht="18" customHeight="1">
      <c r="A201" s="284">
        <v>46163</v>
      </c>
      <c r="B201" s="38">
        <f t="shared" si="3"/>
        <v>21</v>
      </c>
      <c r="C201" s="261" t="s">
        <v>1045</v>
      </c>
      <c r="D201" s="259" t="s">
        <v>206</v>
      </c>
      <c r="E201" s="258" t="s">
        <v>914</v>
      </c>
      <c r="F201" s="259" t="s">
        <v>915</v>
      </c>
      <c r="G201" s="259" t="s">
        <v>916</v>
      </c>
      <c r="H201" s="259" t="s">
        <v>33</v>
      </c>
      <c r="I201" s="259" t="s">
        <v>41</v>
      </c>
      <c r="J201" s="259" t="s">
        <v>31</v>
      </c>
      <c r="K201" s="291" t="s">
        <v>1227</v>
      </c>
      <c r="L201" s="260">
        <v>46170</v>
      </c>
      <c r="M201" s="261" t="s">
        <v>1047</v>
      </c>
    </row>
    <row r="202" spans="1:13" ht="18" customHeight="1">
      <c r="A202" s="284">
        <v>46163</v>
      </c>
      <c r="B202" s="38">
        <f t="shared" si="3"/>
        <v>21</v>
      </c>
      <c r="C202" s="261" t="s">
        <v>1005</v>
      </c>
      <c r="D202" s="259" t="s">
        <v>1006</v>
      </c>
      <c r="E202" s="258" t="s">
        <v>914</v>
      </c>
      <c r="F202" s="259" t="s">
        <v>915</v>
      </c>
      <c r="G202" s="259" t="s">
        <v>916</v>
      </c>
      <c r="H202" s="259" t="s">
        <v>33</v>
      </c>
      <c r="I202" s="259" t="s">
        <v>32</v>
      </c>
      <c r="J202" s="259" t="s">
        <v>37</v>
      </c>
      <c r="K202" s="291" t="s">
        <v>1182</v>
      </c>
      <c r="L202" s="260">
        <v>46170</v>
      </c>
      <c r="M202" s="261" t="s">
        <v>1071</v>
      </c>
    </row>
    <row r="203" spans="1:13" ht="18" customHeight="1">
      <c r="A203" s="284">
        <v>46163</v>
      </c>
      <c r="B203" s="38">
        <f t="shared" si="3"/>
        <v>21</v>
      </c>
      <c r="C203" s="261" t="s">
        <v>1121</v>
      </c>
      <c r="D203" s="259" t="s">
        <v>956</v>
      </c>
      <c r="E203" s="258" t="s">
        <v>924</v>
      </c>
      <c r="F203" s="259" t="s">
        <v>915</v>
      </c>
      <c r="G203" s="259" t="s">
        <v>916</v>
      </c>
      <c r="H203" s="259" t="s">
        <v>30</v>
      </c>
      <c r="I203" s="259" t="s">
        <v>235</v>
      </c>
      <c r="J203" s="259" t="s">
        <v>42</v>
      </c>
      <c r="K203" s="291" t="s">
        <v>1186</v>
      </c>
      <c r="L203" s="260">
        <v>46170</v>
      </c>
      <c r="M203" s="261" t="s">
        <v>1104</v>
      </c>
    </row>
    <row r="204" spans="1:13" ht="18" customHeight="1">
      <c r="A204" s="284">
        <v>46163</v>
      </c>
      <c r="B204" s="38">
        <f t="shared" si="3"/>
        <v>21</v>
      </c>
      <c r="C204" s="261" t="s">
        <v>240</v>
      </c>
      <c r="D204" s="259" t="s">
        <v>241</v>
      </c>
      <c r="E204" s="258" t="s">
        <v>924</v>
      </c>
      <c r="F204" s="259" t="s">
        <v>915</v>
      </c>
      <c r="G204" s="259" t="s">
        <v>916</v>
      </c>
      <c r="H204" s="259" t="s">
        <v>30</v>
      </c>
      <c r="I204" s="259" t="s">
        <v>32</v>
      </c>
      <c r="J204" s="259" t="s">
        <v>40</v>
      </c>
      <c r="K204" s="291" t="s">
        <v>1228</v>
      </c>
      <c r="L204" s="260">
        <v>46170</v>
      </c>
      <c r="M204" s="261" t="s">
        <v>1102</v>
      </c>
    </row>
    <row r="205" spans="1:13" ht="18" customHeight="1">
      <c r="A205" s="284">
        <v>46163</v>
      </c>
      <c r="B205" s="38">
        <f t="shared" si="3"/>
        <v>21</v>
      </c>
      <c r="C205" s="261" t="s">
        <v>1059</v>
      </c>
      <c r="D205" s="259" t="s">
        <v>518</v>
      </c>
      <c r="E205" s="258" t="s">
        <v>924</v>
      </c>
      <c r="F205" s="259" t="s">
        <v>915</v>
      </c>
      <c r="G205" s="259" t="s">
        <v>916</v>
      </c>
      <c r="H205" s="259" t="s">
        <v>30</v>
      </c>
      <c r="I205" s="259" t="s">
        <v>225</v>
      </c>
      <c r="J205" s="259" t="s">
        <v>34</v>
      </c>
      <c r="K205" s="291" t="s">
        <v>1229</v>
      </c>
      <c r="L205" s="260">
        <v>46170</v>
      </c>
      <c r="M205" s="261" t="s">
        <v>1061</v>
      </c>
    </row>
    <row r="206" spans="1:13" ht="18" customHeight="1">
      <c r="A206" s="284">
        <v>46163</v>
      </c>
      <c r="B206" s="38">
        <f t="shared" si="3"/>
        <v>21</v>
      </c>
      <c r="C206" s="261" t="s">
        <v>1085</v>
      </c>
      <c r="D206" s="259"/>
      <c r="E206" s="258" t="s">
        <v>934</v>
      </c>
      <c r="F206" s="259" t="s">
        <v>990</v>
      </c>
      <c r="G206" s="259" t="s">
        <v>991</v>
      </c>
      <c r="H206" s="259" t="s">
        <v>466</v>
      </c>
      <c r="I206" s="259" t="s">
        <v>466</v>
      </c>
      <c r="J206" s="259" t="s">
        <v>31</v>
      </c>
      <c r="K206" s="291" t="s">
        <v>1191</v>
      </c>
      <c r="L206" s="260">
        <v>46170</v>
      </c>
      <c r="M206" s="261" t="s">
        <v>1087</v>
      </c>
    </row>
    <row r="207" spans="1:13" ht="18" customHeight="1">
      <c r="A207" s="284">
        <v>46163</v>
      </c>
      <c r="B207" s="38">
        <f t="shared" si="3"/>
        <v>21</v>
      </c>
      <c r="C207" s="261" t="s">
        <v>1090</v>
      </c>
      <c r="D207" s="259"/>
      <c r="E207" s="258" t="s">
        <v>942</v>
      </c>
      <c r="F207" s="259" t="s">
        <v>926</v>
      </c>
      <c r="G207" s="259" t="s">
        <v>943</v>
      </c>
      <c r="H207" s="259" t="s">
        <v>466</v>
      </c>
      <c r="I207" s="259" t="s">
        <v>466</v>
      </c>
      <c r="J207" s="259" t="s">
        <v>31</v>
      </c>
      <c r="K207" s="291" t="s">
        <v>1091</v>
      </c>
      <c r="L207" s="260">
        <v>46170</v>
      </c>
      <c r="M207" s="261" t="s">
        <v>1092</v>
      </c>
    </row>
    <row r="208" spans="1:13" ht="18" customHeight="1">
      <c r="A208" s="284">
        <v>46163</v>
      </c>
      <c r="B208" s="38">
        <f t="shared" si="3"/>
        <v>21</v>
      </c>
      <c r="C208" s="261" t="s">
        <v>1194</v>
      </c>
      <c r="D208" s="259"/>
      <c r="E208" s="258" t="s">
        <v>954</v>
      </c>
      <c r="F208" s="259" t="s">
        <v>961</v>
      </c>
      <c r="G208" s="259" t="s">
        <v>466</v>
      </c>
      <c r="H208" s="259" t="s">
        <v>466</v>
      </c>
      <c r="I208" s="259" t="s">
        <v>466</v>
      </c>
      <c r="J208" s="259" t="s">
        <v>962</v>
      </c>
      <c r="K208" s="291" t="s">
        <v>1230</v>
      </c>
      <c r="L208" s="260"/>
      <c r="M208" s="261"/>
    </row>
    <row r="209" spans="1:13" ht="18" customHeight="1">
      <c r="A209" s="284">
        <v>46163</v>
      </c>
      <c r="B209" s="38">
        <f t="shared" si="3"/>
        <v>21</v>
      </c>
      <c r="C209" s="261" t="s">
        <v>1231</v>
      </c>
      <c r="D209" s="259"/>
      <c r="E209" s="258" t="s">
        <v>960</v>
      </c>
      <c r="F209" s="259" t="s">
        <v>961</v>
      </c>
      <c r="G209" s="259" t="s">
        <v>466</v>
      </c>
      <c r="H209" s="259" t="s">
        <v>466</v>
      </c>
      <c r="I209" s="259" t="s">
        <v>466</v>
      </c>
      <c r="J209" s="259" t="s">
        <v>962</v>
      </c>
      <c r="K209" s="291" t="s">
        <v>1197</v>
      </c>
      <c r="L209" s="260"/>
      <c r="M209" s="261"/>
    </row>
    <row r="210" spans="1:13" ht="18" customHeight="1">
      <c r="A210" s="286">
        <v>46165</v>
      </c>
      <c r="B210" s="38">
        <f t="shared" si="3"/>
        <v>21</v>
      </c>
      <c r="C210" s="276" t="s">
        <v>219</v>
      </c>
      <c r="D210" s="275" t="s">
        <v>66</v>
      </c>
      <c r="E210" s="275" t="s">
        <v>914</v>
      </c>
      <c r="F210" s="275" t="s">
        <v>915</v>
      </c>
      <c r="G210" s="275" t="s">
        <v>916</v>
      </c>
      <c r="H210" s="275" t="s">
        <v>30</v>
      </c>
      <c r="I210" s="275" t="s">
        <v>225</v>
      </c>
      <c r="J210" s="275" t="s">
        <v>31</v>
      </c>
      <c r="K210" s="292" t="s">
        <v>1232</v>
      </c>
      <c r="L210" s="274">
        <v>46167</v>
      </c>
      <c r="M210" s="276" t="s">
        <v>1212</v>
      </c>
    </row>
    <row r="211" spans="1:13" ht="18" customHeight="1">
      <c r="A211" s="284">
        <v>46165</v>
      </c>
      <c r="B211" s="38">
        <f t="shared" si="3"/>
        <v>21</v>
      </c>
      <c r="C211" s="261" t="s">
        <v>937</v>
      </c>
      <c r="D211" s="259" t="s">
        <v>976</v>
      </c>
      <c r="E211" s="259" t="s">
        <v>914</v>
      </c>
      <c r="F211" s="259" t="s">
        <v>915</v>
      </c>
      <c r="G211" s="259" t="s">
        <v>916</v>
      </c>
      <c r="H211" s="259" t="s">
        <v>33</v>
      </c>
      <c r="I211" s="259" t="s">
        <v>32</v>
      </c>
      <c r="J211" s="259" t="s">
        <v>31</v>
      </c>
      <c r="K211" s="291" t="s">
        <v>1233</v>
      </c>
      <c r="L211" s="260">
        <v>46167</v>
      </c>
      <c r="M211" s="261" t="s">
        <v>1138</v>
      </c>
    </row>
    <row r="212" spans="1:13" ht="18" customHeight="1">
      <c r="A212" s="284">
        <v>46165</v>
      </c>
      <c r="B212" s="38">
        <f t="shared" si="3"/>
        <v>21</v>
      </c>
      <c r="C212" s="261" t="s">
        <v>1121</v>
      </c>
      <c r="D212" s="259" t="s">
        <v>956</v>
      </c>
      <c r="E212" s="259" t="s">
        <v>924</v>
      </c>
      <c r="F212" s="259" t="s">
        <v>915</v>
      </c>
      <c r="G212" s="259" t="s">
        <v>916</v>
      </c>
      <c r="H212" s="259" t="s">
        <v>30</v>
      </c>
      <c r="I212" s="259" t="s">
        <v>235</v>
      </c>
      <c r="J212" s="259" t="s">
        <v>42</v>
      </c>
      <c r="K212" s="291" t="s">
        <v>1234</v>
      </c>
      <c r="L212" s="260">
        <v>46167</v>
      </c>
      <c r="M212" s="261" t="s">
        <v>1104</v>
      </c>
    </row>
    <row r="213" spans="1:13" ht="18" customHeight="1">
      <c r="A213" s="286">
        <v>46165</v>
      </c>
      <c r="B213" s="38">
        <f t="shared" si="3"/>
        <v>21</v>
      </c>
      <c r="C213" s="276" t="s">
        <v>1005</v>
      </c>
      <c r="D213" s="275" t="s">
        <v>1006</v>
      </c>
      <c r="E213" s="275" t="s">
        <v>924</v>
      </c>
      <c r="F213" s="275" t="s">
        <v>915</v>
      </c>
      <c r="G213" s="275" t="s">
        <v>916</v>
      </c>
      <c r="H213" s="275" t="s">
        <v>33</v>
      </c>
      <c r="I213" s="275" t="s">
        <v>235</v>
      </c>
      <c r="J213" s="275" t="s">
        <v>37</v>
      </c>
      <c r="K213" s="292" t="s">
        <v>1235</v>
      </c>
      <c r="L213" s="274">
        <v>46167</v>
      </c>
      <c r="M213" s="276" t="s">
        <v>1106</v>
      </c>
    </row>
    <row r="214" spans="1:13" ht="18" customHeight="1">
      <c r="A214" s="284">
        <v>46165</v>
      </c>
      <c r="B214" s="38">
        <f t="shared" si="3"/>
        <v>21</v>
      </c>
      <c r="C214" s="261" t="s">
        <v>1107</v>
      </c>
      <c r="D214" s="259" t="s">
        <v>64</v>
      </c>
      <c r="E214" s="259" t="s">
        <v>924</v>
      </c>
      <c r="F214" s="259" t="s">
        <v>915</v>
      </c>
      <c r="G214" s="259" t="s">
        <v>916</v>
      </c>
      <c r="H214" s="259" t="s">
        <v>30</v>
      </c>
      <c r="I214" s="259" t="s">
        <v>225</v>
      </c>
      <c r="J214" s="259" t="s">
        <v>31</v>
      </c>
      <c r="K214" s="291" t="s">
        <v>1200</v>
      </c>
      <c r="L214" s="260">
        <v>46167</v>
      </c>
      <c r="M214" s="261" t="s">
        <v>1042</v>
      </c>
    </row>
    <row r="215" spans="1:13" ht="18" customHeight="1">
      <c r="A215" s="286">
        <v>46165</v>
      </c>
      <c r="B215" s="38">
        <f t="shared" si="3"/>
        <v>21</v>
      </c>
      <c r="C215" s="276" t="s">
        <v>1124</v>
      </c>
      <c r="D215" s="275" t="s">
        <v>70</v>
      </c>
      <c r="E215" s="275" t="s">
        <v>934</v>
      </c>
      <c r="F215" s="275" t="s">
        <v>915</v>
      </c>
      <c r="G215" s="275" t="s">
        <v>916</v>
      </c>
      <c r="H215" s="275" t="s">
        <v>30</v>
      </c>
      <c r="I215" s="275" t="s">
        <v>32</v>
      </c>
      <c r="J215" s="275" t="s">
        <v>34</v>
      </c>
      <c r="K215" s="292" t="s">
        <v>1236</v>
      </c>
      <c r="L215" s="274">
        <v>46167</v>
      </c>
      <c r="M215" s="276" t="s">
        <v>1237</v>
      </c>
    </row>
    <row r="216" spans="1:13" ht="18" customHeight="1">
      <c r="A216" s="284">
        <v>46165</v>
      </c>
      <c r="B216" s="38">
        <f t="shared" si="3"/>
        <v>21</v>
      </c>
      <c r="C216" s="261" t="s">
        <v>1125</v>
      </c>
      <c r="D216" s="259" t="s">
        <v>232</v>
      </c>
      <c r="E216" s="259" t="s">
        <v>934</v>
      </c>
      <c r="F216" s="259" t="s">
        <v>915</v>
      </c>
      <c r="G216" s="259" t="s">
        <v>916</v>
      </c>
      <c r="H216" s="259" t="s">
        <v>30</v>
      </c>
      <c r="I216" s="259" t="s">
        <v>32</v>
      </c>
      <c r="J216" s="259" t="s">
        <v>31</v>
      </c>
      <c r="K216" s="291" t="s">
        <v>1238</v>
      </c>
      <c r="L216" s="260">
        <v>46167</v>
      </c>
      <c r="M216" s="261" t="s">
        <v>1017</v>
      </c>
    </row>
    <row r="217" spans="1:13" ht="18" customHeight="1">
      <c r="A217" s="286">
        <v>46165</v>
      </c>
      <c r="B217" s="38">
        <f t="shared" si="3"/>
        <v>21</v>
      </c>
      <c r="C217" s="276" t="s">
        <v>469</v>
      </c>
      <c r="D217" s="275" t="s">
        <v>58</v>
      </c>
      <c r="E217" s="275" t="s">
        <v>942</v>
      </c>
      <c r="F217" s="275" t="s">
        <v>926</v>
      </c>
      <c r="G217" s="275" t="s">
        <v>916</v>
      </c>
      <c r="H217" s="275" t="s">
        <v>30</v>
      </c>
      <c r="I217" s="275" t="s">
        <v>32</v>
      </c>
      <c r="J217" s="275" t="s">
        <v>34</v>
      </c>
      <c r="K217" s="292" t="s">
        <v>1239</v>
      </c>
      <c r="L217" s="274">
        <v>46168</v>
      </c>
      <c r="M217" s="276" t="s">
        <v>985</v>
      </c>
    </row>
    <row r="218" spans="1:13" ht="18" customHeight="1">
      <c r="A218" s="284">
        <v>46165</v>
      </c>
      <c r="B218" s="38">
        <f t="shared" si="3"/>
        <v>21</v>
      </c>
      <c r="C218" s="261" t="s">
        <v>989</v>
      </c>
      <c r="D218" s="259"/>
      <c r="E218" s="259" t="s">
        <v>950</v>
      </c>
      <c r="F218" s="259" t="s">
        <v>990</v>
      </c>
      <c r="G218" s="259" t="s">
        <v>991</v>
      </c>
      <c r="H218" s="259" t="s">
        <v>466</v>
      </c>
      <c r="I218" s="259" t="s">
        <v>466</v>
      </c>
      <c r="J218" s="259" t="s">
        <v>34</v>
      </c>
      <c r="K218" s="291" t="s">
        <v>1240</v>
      </c>
      <c r="L218" s="260">
        <v>46168</v>
      </c>
      <c r="M218" s="261" t="s">
        <v>993</v>
      </c>
    </row>
    <row r="219" spans="1:13" ht="18" customHeight="1">
      <c r="A219" s="286">
        <v>46165</v>
      </c>
      <c r="B219" s="38">
        <f t="shared" si="3"/>
        <v>21</v>
      </c>
      <c r="C219" s="276" t="s">
        <v>959</v>
      </c>
      <c r="D219" s="275"/>
      <c r="E219" s="275" t="s">
        <v>960</v>
      </c>
      <c r="F219" s="275" t="s">
        <v>961</v>
      </c>
      <c r="G219" s="275" t="s">
        <v>466</v>
      </c>
      <c r="H219" s="275" t="s">
        <v>466</v>
      </c>
      <c r="I219" s="275" t="s">
        <v>466</v>
      </c>
      <c r="J219" s="275" t="s">
        <v>962</v>
      </c>
      <c r="K219" s="292" t="s">
        <v>1116</v>
      </c>
      <c r="L219" s="274"/>
      <c r="M219" s="276"/>
    </row>
    <row r="220" spans="1:13" ht="18" customHeight="1">
      <c r="A220" s="286">
        <v>46166</v>
      </c>
      <c r="B220" s="38">
        <f t="shared" si="3"/>
        <v>22</v>
      </c>
      <c r="C220" s="276" t="s">
        <v>240</v>
      </c>
      <c r="D220" s="275" t="s">
        <v>241</v>
      </c>
      <c r="E220" s="275" t="s">
        <v>914</v>
      </c>
      <c r="F220" s="275" t="s">
        <v>915</v>
      </c>
      <c r="G220" s="275" t="s">
        <v>916</v>
      </c>
      <c r="H220" s="275" t="s">
        <v>30</v>
      </c>
      <c r="I220" s="275" t="s">
        <v>32</v>
      </c>
      <c r="J220" s="275" t="s">
        <v>40</v>
      </c>
      <c r="K220" s="292" t="s">
        <v>1241</v>
      </c>
      <c r="L220" s="274">
        <v>46168</v>
      </c>
      <c r="M220" s="276" t="s">
        <v>1102</v>
      </c>
    </row>
    <row r="221" spans="1:13" ht="18" customHeight="1">
      <c r="A221" s="284">
        <v>46166</v>
      </c>
      <c r="B221" s="38">
        <f t="shared" si="3"/>
        <v>22</v>
      </c>
      <c r="C221" s="261" t="s">
        <v>243</v>
      </c>
      <c r="D221" s="259" t="s">
        <v>241</v>
      </c>
      <c r="E221" s="259" t="s">
        <v>914</v>
      </c>
      <c r="F221" s="259" t="s">
        <v>915</v>
      </c>
      <c r="G221" s="259" t="s">
        <v>916</v>
      </c>
      <c r="H221" s="259" t="s">
        <v>30</v>
      </c>
      <c r="I221" s="259" t="s">
        <v>32</v>
      </c>
      <c r="J221" s="259" t="s">
        <v>40</v>
      </c>
      <c r="K221" s="291" t="s">
        <v>1216</v>
      </c>
      <c r="L221" s="260">
        <v>46170</v>
      </c>
      <c r="M221" s="261" t="s">
        <v>1012</v>
      </c>
    </row>
    <row r="222" spans="1:13" ht="18" customHeight="1">
      <c r="A222" s="284">
        <v>46166</v>
      </c>
      <c r="B222" s="38">
        <f t="shared" si="3"/>
        <v>22</v>
      </c>
      <c r="C222" s="261" t="s">
        <v>237</v>
      </c>
      <c r="D222" s="259" t="s">
        <v>509</v>
      </c>
      <c r="E222" s="259" t="s">
        <v>924</v>
      </c>
      <c r="F222" s="259" t="s">
        <v>915</v>
      </c>
      <c r="G222" s="259" t="s">
        <v>916</v>
      </c>
      <c r="H222" s="259" t="s">
        <v>30</v>
      </c>
      <c r="I222" s="259" t="s">
        <v>32</v>
      </c>
      <c r="J222" s="259" t="s">
        <v>31</v>
      </c>
      <c r="K222" s="291" t="s">
        <v>1242</v>
      </c>
      <c r="L222" s="260">
        <v>46168</v>
      </c>
      <c r="M222" s="261" t="s">
        <v>1129</v>
      </c>
    </row>
    <row r="223" spans="1:13" ht="18" customHeight="1">
      <c r="A223" s="286">
        <v>46166</v>
      </c>
      <c r="B223" s="38">
        <f t="shared" si="3"/>
        <v>22</v>
      </c>
      <c r="C223" s="276" t="s">
        <v>1059</v>
      </c>
      <c r="D223" s="275" t="s">
        <v>518</v>
      </c>
      <c r="E223" s="275" t="s">
        <v>924</v>
      </c>
      <c r="F223" s="275" t="s">
        <v>915</v>
      </c>
      <c r="G223" s="275" t="s">
        <v>916</v>
      </c>
      <c r="H223" s="275" t="s">
        <v>30</v>
      </c>
      <c r="I223" s="275" t="s">
        <v>225</v>
      </c>
      <c r="J223" s="275" t="s">
        <v>34</v>
      </c>
      <c r="K223" s="292" t="s">
        <v>1229</v>
      </c>
      <c r="L223" s="274">
        <v>46170</v>
      </c>
      <c r="M223" s="276" t="s">
        <v>1061</v>
      </c>
    </row>
    <row r="224" spans="1:13" ht="18" customHeight="1">
      <c r="A224" s="286">
        <v>46166</v>
      </c>
      <c r="B224" s="38">
        <f t="shared" si="3"/>
        <v>22</v>
      </c>
      <c r="C224" s="276" t="s">
        <v>477</v>
      </c>
      <c r="D224" s="275" t="s">
        <v>249</v>
      </c>
      <c r="E224" s="275" t="s">
        <v>934</v>
      </c>
      <c r="F224" s="275" t="s">
        <v>915</v>
      </c>
      <c r="G224" s="275" t="s">
        <v>916</v>
      </c>
      <c r="H224" s="275" t="s">
        <v>466</v>
      </c>
      <c r="I224" s="275" t="s">
        <v>466</v>
      </c>
      <c r="J224" s="275" t="s">
        <v>31</v>
      </c>
      <c r="K224" s="292" t="s">
        <v>1205</v>
      </c>
      <c r="L224" s="274">
        <v>46170</v>
      </c>
      <c r="M224" s="276" t="s">
        <v>1075</v>
      </c>
    </row>
    <row r="225" spans="1:13" ht="18" customHeight="1">
      <c r="A225" s="284">
        <v>46166</v>
      </c>
      <c r="B225" s="38">
        <f t="shared" si="3"/>
        <v>22</v>
      </c>
      <c r="C225" s="261" t="s">
        <v>535</v>
      </c>
      <c r="D225" s="259" t="s">
        <v>76</v>
      </c>
      <c r="E225" s="259" t="s">
        <v>934</v>
      </c>
      <c r="F225" s="259" t="s">
        <v>915</v>
      </c>
      <c r="G225" s="259" t="s">
        <v>916</v>
      </c>
      <c r="H225" s="259" t="s">
        <v>466</v>
      </c>
      <c r="I225" s="259" t="s">
        <v>466</v>
      </c>
      <c r="J225" s="259" t="s">
        <v>31</v>
      </c>
      <c r="K225" s="291" t="s">
        <v>1243</v>
      </c>
      <c r="L225" s="260">
        <v>46170</v>
      </c>
      <c r="M225" s="261" t="s">
        <v>1244</v>
      </c>
    </row>
    <row r="226" spans="1:13" ht="18" customHeight="1">
      <c r="A226" s="286">
        <v>46166</v>
      </c>
      <c r="B226" s="38">
        <f t="shared" si="3"/>
        <v>22</v>
      </c>
      <c r="C226" s="276" t="s">
        <v>1245</v>
      </c>
      <c r="D226" s="275" t="s">
        <v>64</v>
      </c>
      <c r="E226" s="275" t="s">
        <v>942</v>
      </c>
      <c r="F226" s="275" t="s">
        <v>926</v>
      </c>
      <c r="G226" s="275" t="s">
        <v>916</v>
      </c>
      <c r="H226" s="275" t="s">
        <v>30</v>
      </c>
      <c r="I226" s="275" t="s">
        <v>225</v>
      </c>
      <c r="J226" s="275" t="s">
        <v>31</v>
      </c>
      <c r="K226" s="292" t="s">
        <v>1246</v>
      </c>
      <c r="L226" s="274">
        <v>46170</v>
      </c>
      <c r="M226" s="276" t="s">
        <v>1024</v>
      </c>
    </row>
    <row r="227" spans="1:13" ht="18" customHeight="1">
      <c r="A227" s="284">
        <v>46166</v>
      </c>
      <c r="B227" s="38">
        <f t="shared" si="3"/>
        <v>22</v>
      </c>
      <c r="C227" s="261" t="s">
        <v>1173</v>
      </c>
      <c r="D227" s="259"/>
      <c r="E227" s="259" t="s">
        <v>950</v>
      </c>
      <c r="F227" s="259" t="s">
        <v>990</v>
      </c>
      <c r="G227" s="259" t="s">
        <v>991</v>
      </c>
      <c r="H227" s="259" t="s">
        <v>466</v>
      </c>
      <c r="I227" s="259" t="s">
        <v>466</v>
      </c>
      <c r="J227" s="259" t="s">
        <v>31</v>
      </c>
      <c r="K227" s="291" t="s">
        <v>1191</v>
      </c>
      <c r="L227" s="260">
        <v>46170</v>
      </c>
      <c r="M227" s="261" t="s">
        <v>1247</v>
      </c>
    </row>
    <row r="228" spans="1:13" ht="18" customHeight="1">
      <c r="A228" s="286">
        <v>46166</v>
      </c>
      <c r="B228" s="38">
        <f t="shared" si="3"/>
        <v>22</v>
      </c>
      <c r="C228" s="276" t="s">
        <v>959</v>
      </c>
      <c r="D228" s="275"/>
      <c r="E228" s="275" t="s">
        <v>960</v>
      </c>
      <c r="F228" s="275" t="s">
        <v>961</v>
      </c>
      <c r="G228" s="275" t="s">
        <v>466</v>
      </c>
      <c r="H228" s="275" t="s">
        <v>466</v>
      </c>
      <c r="I228" s="275" t="s">
        <v>466</v>
      </c>
      <c r="J228" s="275" t="s">
        <v>962</v>
      </c>
      <c r="K228" s="292" t="s">
        <v>1134</v>
      </c>
      <c r="L228" s="274"/>
      <c r="M228" s="276"/>
    </row>
    <row r="229" spans="1:13" ht="18" customHeight="1">
      <c r="A229" s="286">
        <v>46167</v>
      </c>
      <c r="B229" s="38">
        <f t="shared" si="3"/>
        <v>22</v>
      </c>
      <c r="C229" s="276" t="s">
        <v>219</v>
      </c>
      <c r="D229" s="275" t="s">
        <v>66</v>
      </c>
      <c r="E229" s="275" t="s">
        <v>914</v>
      </c>
      <c r="F229" s="275" t="s">
        <v>915</v>
      </c>
      <c r="G229" s="275" t="s">
        <v>916</v>
      </c>
      <c r="H229" s="275" t="s">
        <v>30</v>
      </c>
      <c r="I229" s="275" t="s">
        <v>225</v>
      </c>
      <c r="J229" s="275" t="s">
        <v>31</v>
      </c>
      <c r="K229" s="292" t="s">
        <v>1248</v>
      </c>
      <c r="L229" s="274">
        <v>46170</v>
      </c>
      <c r="M229" s="276" t="s">
        <v>1073</v>
      </c>
    </row>
    <row r="230" spans="1:13" ht="18" customHeight="1">
      <c r="A230" s="284">
        <v>46167</v>
      </c>
      <c r="B230" s="38">
        <f t="shared" si="3"/>
        <v>22</v>
      </c>
      <c r="C230" s="261" t="s">
        <v>1043</v>
      </c>
      <c r="D230" s="259" t="s">
        <v>976</v>
      </c>
      <c r="E230" s="259" t="s">
        <v>914</v>
      </c>
      <c r="F230" s="259" t="s">
        <v>915</v>
      </c>
      <c r="G230" s="259" t="s">
        <v>916</v>
      </c>
      <c r="H230" s="259" t="s">
        <v>33</v>
      </c>
      <c r="I230" s="259" t="s">
        <v>32</v>
      </c>
      <c r="J230" s="259" t="s">
        <v>31</v>
      </c>
      <c r="K230" s="291" t="s">
        <v>1249</v>
      </c>
      <c r="L230" s="260">
        <v>46170</v>
      </c>
      <c r="M230" s="261" t="s">
        <v>978</v>
      </c>
    </row>
    <row r="231" spans="1:13" ht="18" customHeight="1">
      <c r="A231" s="286">
        <v>46167</v>
      </c>
      <c r="B231" s="38">
        <f t="shared" si="3"/>
        <v>22</v>
      </c>
      <c r="C231" s="276" t="s">
        <v>563</v>
      </c>
      <c r="D231" s="275" t="s">
        <v>68</v>
      </c>
      <c r="E231" s="275" t="s">
        <v>914</v>
      </c>
      <c r="F231" s="275" t="s">
        <v>915</v>
      </c>
      <c r="G231" s="275" t="s">
        <v>916</v>
      </c>
      <c r="H231" s="275" t="s">
        <v>466</v>
      </c>
      <c r="I231" s="275" t="s">
        <v>466</v>
      </c>
      <c r="J231" s="275" t="s">
        <v>31</v>
      </c>
      <c r="K231" s="292" t="s">
        <v>1208</v>
      </c>
      <c r="L231" s="274">
        <v>46170</v>
      </c>
      <c r="M231" s="276" t="s">
        <v>1067</v>
      </c>
    </row>
    <row r="232" spans="1:13" ht="18" customHeight="1">
      <c r="A232" s="284">
        <v>46167</v>
      </c>
      <c r="B232" s="38">
        <f t="shared" si="3"/>
        <v>22</v>
      </c>
      <c r="C232" s="261" t="s">
        <v>1153</v>
      </c>
      <c r="D232" s="259" t="s">
        <v>956</v>
      </c>
      <c r="E232" s="259" t="s">
        <v>924</v>
      </c>
      <c r="F232" s="259" t="s">
        <v>915</v>
      </c>
      <c r="G232" s="259" t="s">
        <v>916</v>
      </c>
      <c r="H232" s="259" t="s">
        <v>30</v>
      </c>
      <c r="I232" s="259" t="s">
        <v>235</v>
      </c>
      <c r="J232" s="259" t="s">
        <v>42</v>
      </c>
      <c r="K232" s="291" t="s">
        <v>1154</v>
      </c>
      <c r="L232" s="260">
        <v>46170</v>
      </c>
      <c r="M232" s="261" t="s">
        <v>1017</v>
      </c>
    </row>
    <row r="233" spans="1:13" ht="18" customHeight="1">
      <c r="A233" s="286">
        <v>46167</v>
      </c>
      <c r="B233" s="38">
        <f t="shared" si="3"/>
        <v>22</v>
      </c>
      <c r="C233" s="276" t="s">
        <v>1077</v>
      </c>
      <c r="D233" s="275" t="s">
        <v>524</v>
      </c>
      <c r="E233" s="275" t="s">
        <v>924</v>
      </c>
      <c r="F233" s="275" t="s">
        <v>915</v>
      </c>
      <c r="G233" s="275" t="s">
        <v>916</v>
      </c>
      <c r="H233" s="275" t="s">
        <v>30</v>
      </c>
      <c r="I233" s="275" t="s">
        <v>225</v>
      </c>
      <c r="J233" s="275" t="s">
        <v>34</v>
      </c>
      <c r="K233" s="292" t="s">
        <v>997</v>
      </c>
      <c r="L233" s="274">
        <v>46170</v>
      </c>
      <c r="M233" s="276" t="s">
        <v>998</v>
      </c>
    </row>
    <row r="234" spans="1:13" ht="18" customHeight="1">
      <c r="A234" s="284">
        <v>46167</v>
      </c>
      <c r="B234" s="38">
        <f t="shared" si="3"/>
        <v>22</v>
      </c>
      <c r="C234" s="261" t="s">
        <v>1110</v>
      </c>
      <c r="D234" s="259" t="s">
        <v>415</v>
      </c>
      <c r="E234" s="259" t="s">
        <v>924</v>
      </c>
      <c r="F234" s="259" t="s">
        <v>915</v>
      </c>
      <c r="G234" s="259" t="s">
        <v>916</v>
      </c>
      <c r="H234" s="259" t="s">
        <v>30</v>
      </c>
      <c r="I234" s="259" t="s">
        <v>39</v>
      </c>
      <c r="J234" s="259" t="s">
        <v>40</v>
      </c>
      <c r="K234" s="291" t="s">
        <v>1111</v>
      </c>
      <c r="L234" s="260">
        <v>46174</v>
      </c>
      <c r="M234" s="261" t="s">
        <v>1250</v>
      </c>
    </row>
    <row r="235" spans="1:13" ht="18" customHeight="1">
      <c r="A235" s="286">
        <v>46167</v>
      </c>
      <c r="B235" s="38">
        <f t="shared" si="3"/>
        <v>22</v>
      </c>
      <c r="C235" s="276" t="s">
        <v>1025</v>
      </c>
      <c r="D235" s="275" t="s">
        <v>72</v>
      </c>
      <c r="E235" s="275" t="s">
        <v>934</v>
      </c>
      <c r="F235" s="275" t="s">
        <v>915</v>
      </c>
      <c r="G235" s="275" t="s">
        <v>916</v>
      </c>
      <c r="H235" s="275" t="s">
        <v>33</v>
      </c>
      <c r="I235" s="275" t="s">
        <v>32</v>
      </c>
      <c r="J235" s="275" t="s">
        <v>31</v>
      </c>
      <c r="K235" s="292" t="s">
        <v>1251</v>
      </c>
      <c r="L235" s="274">
        <v>46170</v>
      </c>
      <c r="M235" s="276" t="s">
        <v>1138</v>
      </c>
    </row>
    <row r="236" spans="1:13" ht="18" customHeight="1">
      <c r="A236" s="284">
        <v>46167</v>
      </c>
      <c r="B236" s="38">
        <f t="shared" si="3"/>
        <v>22</v>
      </c>
      <c r="C236" s="261" t="s">
        <v>930</v>
      </c>
      <c r="D236" s="259" t="s">
        <v>574</v>
      </c>
      <c r="E236" s="259" t="s">
        <v>934</v>
      </c>
      <c r="F236" s="259" t="s">
        <v>915</v>
      </c>
      <c r="G236" s="259" t="s">
        <v>916</v>
      </c>
      <c r="H236" s="259" t="s">
        <v>466</v>
      </c>
      <c r="I236" s="259" t="s">
        <v>466</v>
      </c>
      <c r="J236" s="259" t="s">
        <v>31</v>
      </c>
      <c r="K236" s="291" t="s">
        <v>1223</v>
      </c>
      <c r="L236" s="260">
        <v>46174</v>
      </c>
      <c r="M236" s="261" t="s">
        <v>1224</v>
      </c>
    </row>
    <row r="237" spans="1:13" ht="18" customHeight="1">
      <c r="A237" s="286">
        <v>46167</v>
      </c>
      <c r="B237" s="38">
        <f t="shared" si="3"/>
        <v>22</v>
      </c>
      <c r="C237" s="276" t="s">
        <v>1171</v>
      </c>
      <c r="D237" s="275" t="s">
        <v>976</v>
      </c>
      <c r="E237" s="275" t="s">
        <v>942</v>
      </c>
      <c r="F237" s="275" t="s">
        <v>926</v>
      </c>
      <c r="G237" s="275" t="s">
        <v>916</v>
      </c>
      <c r="H237" s="275" t="s">
        <v>33</v>
      </c>
      <c r="I237" s="275" t="s">
        <v>32</v>
      </c>
      <c r="J237" s="275" t="s">
        <v>31</v>
      </c>
      <c r="K237" s="292" t="s">
        <v>1172</v>
      </c>
      <c r="L237" s="274">
        <v>46170</v>
      </c>
      <c r="M237" s="276" t="s">
        <v>978</v>
      </c>
    </row>
    <row r="238" spans="1:13" ht="18" customHeight="1">
      <c r="A238" s="284">
        <v>46167</v>
      </c>
      <c r="B238" s="38">
        <f t="shared" si="3"/>
        <v>22</v>
      </c>
      <c r="C238" s="261" t="s">
        <v>1192</v>
      </c>
      <c r="D238" s="259"/>
      <c r="E238" s="259" t="s">
        <v>950</v>
      </c>
      <c r="F238" s="259" t="s">
        <v>990</v>
      </c>
      <c r="G238" s="259" t="s">
        <v>991</v>
      </c>
      <c r="H238" s="259" t="s">
        <v>466</v>
      </c>
      <c r="I238" s="259" t="s">
        <v>466</v>
      </c>
      <c r="J238" s="259" t="s">
        <v>31</v>
      </c>
      <c r="K238" s="291" t="s">
        <v>1193</v>
      </c>
      <c r="L238" s="260">
        <v>46174</v>
      </c>
      <c r="M238" s="261" t="s">
        <v>1252</v>
      </c>
    </row>
    <row r="239" spans="1:13" ht="18" customHeight="1">
      <c r="A239" s="286">
        <v>46167</v>
      </c>
      <c r="B239" s="38">
        <f t="shared" si="3"/>
        <v>22</v>
      </c>
      <c r="C239" s="276" t="s">
        <v>959</v>
      </c>
      <c r="D239" s="275"/>
      <c r="E239" s="275" t="s">
        <v>960</v>
      </c>
      <c r="F239" s="275" t="s">
        <v>961</v>
      </c>
      <c r="G239" s="275" t="s">
        <v>466</v>
      </c>
      <c r="H239" s="275" t="s">
        <v>466</v>
      </c>
      <c r="I239" s="275" t="s">
        <v>466</v>
      </c>
      <c r="J239" s="275" t="s">
        <v>962</v>
      </c>
      <c r="K239" s="292" t="s">
        <v>1147</v>
      </c>
      <c r="L239" s="274"/>
      <c r="M239" s="276"/>
    </row>
    <row r="240" spans="1:13" ht="18" customHeight="1">
      <c r="A240" s="284">
        <v>46168</v>
      </c>
      <c r="B240" s="38">
        <f t="shared" si="3"/>
        <v>22</v>
      </c>
      <c r="C240" s="261" t="s">
        <v>1005</v>
      </c>
      <c r="D240" s="259" t="s">
        <v>1006</v>
      </c>
      <c r="E240" s="259" t="s">
        <v>914</v>
      </c>
      <c r="F240" s="259" t="s">
        <v>915</v>
      </c>
      <c r="G240" s="259" t="s">
        <v>916</v>
      </c>
      <c r="H240" s="259" t="s">
        <v>33</v>
      </c>
      <c r="I240" s="259" t="s">
        <v>235</v>
      </c>
      <c r="J240" s="259" t="s">
        <v>37</v>
      </c>
      <c r="K240" s="291" t="s">
        <v>1209</v>
      </c>
      <c r="L240" s="260">
        <v>46174</v>
      </c>
      <c r="M240" s="261" t="s">
        <v>1152</v>
      </c>
    </row>
    <row r="241" spans="1:13" ht="18" customHeight="1">
      <c r="A241" s="286">
        <v>46168</v>
      </c>
      <c r="B241" s="38">
        <f t="shared" si="3"/>
        <v>22</v>
      </c>
      <c r="C241" s="276" t="s">
        <v>240</v>
      </c>
      <c r="D241" s="275" t="s">
        <v>241</v>
      </c>
      <c r="E241" s="275" t="s">
        <v>914</v>
      </c>
      <c r="F241" s="275" t="s">
        <v>915</v>
      </c>
      <c r="G241" s="275" t="s">
        <v>916</v>
      </c>
      <c r="H241" s="275" t="s">
        <v>30</v>
      </c>
      <c r="I241" s="275" t="s">
        <v>32</v>
      </c>
      <c r="J241" s="275" t="s">
        <v>40</v>
      </c>
      <c r="K241" s="292" t="s">
        <v>1253</v>
      </c>
      <c r="L241" s="274">
        <v>46174</v>
      </c>
      <c r="M241" s="276" t="s">
        <v>1102</v>
      </c>
    </row>
    <row r="242" spans="1:13" ht="18" customHeight="1">
      <c r="A242" s="284">
        <v>46168</v>
      </c>
      <c r="B242" s="38">
        <f t="shared" si="3"/>
        <v>22</v>
      </c>
      <c r="C242" s="261" t="s">
        <v>237</v>
      </c>
      <c r="D242" s="259" t="s">
        <v>509</v>
      </c>
      <c r="E242" s="259" t="s">
        <v>924</v>
      </c>
      <c r="F242" s="259" t="s">
        <v>915</v>
      </c>
      <c r="G242" s="259" t="s">
        <v>916</v>
      </c>
      <c r="H242" s="259" t="s">
        <v>30</v>
      </c>
      <c r="I242" s="259" t="s">
        <v>32</v>
      </c>
      <c r="J242" s="259" t="s">
        <v>31</v>
      </c>
      <c r="K242" s="291" t="s">
        <v>1254</v>
      </c>
      <c r="L242" s="260">
        <v>46174</v>
      </c>
      <c r="M242" s="261" t="s">
        <v>1255</v>
      </c>
    </row>
    <row r="243" spans="1:13" ht="18" customHeight="1">
      <c r="A243" s="286">
        <v>46168</v>
      </c>
      <c r="B243" s="38">
        <f t="shared" si="3"/>
        <v>22</v>
      </c>
      <c r="C243" s="276" t="s">
        <v>1124</v>
      </c>
      <c r="D243" s="275" t="s">
        <v>70</v>
      </c>
      <c r="E243" s="275" t="s">
        <v>924</v>
      </c>
      <c r="F243" s="275" t="s">
        <v>915</v>
      </c>
      <c r="G243" s="275" t="s">
        <v>916</v>
      </c>
      <c r="H243" s="275" t="s">
        <v>30</v>
      </c>
      <c r="I243" s="275" t="s">
        <v>32</v>
      </c>
      <c r="J243" s="275" t="s">
        <v>34</v>
      </c>
      <c r="K243" s="292" t="s">
        <v>1188</v>
      </c>
      <c r="L243" s="274">
        <v>46174</v>
      </c>
      <c r="M243" s="276" t="s">
        <v>1152</v>
      </c>
    </row>
    <row r="244" spans="1:13" ht="18" customHeight="1">
      <c r="A244" s="284">
        <v>46168</v>
      </c>
      <c r="B244" s="38">
        <f t="shared" si="3"/>
        <v>22</v>
      </c>
      <c r="C244" s="261" t="s">
        <v>1125</v>
      </c>
      <c r="D244" s="259" t="s">
        <v>232</v>
      </c>
      <c r="E244" s="259" t="s">
        <v>924</v>
      </c>
      <c r="F244" s="259" t="s">
        <v>915</v>
      </c>
      <c r="G244" s="259" t="s">
        <v>916</v>
      </c>
      <c r="H244" s="259" t="s">
        <v>30</v>
      </c>
      <c r="I244" s="259" t="s">
        <v>32</v>
      </c>
      <c r="J244" s="259" t="s">
        <v>31</v>
      </c>
      <c r="K244" s="291" t="s">
        <v>1166</v>
      </c>
      <c r="L244" s="260">
        <v>46174</v>
      </c>
      <c r="M244" s="261" t="s">
        <v>1017</v>
      </c>
    </row>
    <row r="245" spans="1:13" ht="18" customHeight="1">
      <c r="A245" s="286">
        <v>46168</v>
      </c>
      <c r="B245" s="38">
        <f t="shared" si="3"/>
        <v>22</v>
      </c>
      <c r="C245" s="276" t="s">
        <v>558</v>
      </c>
      <c r="D245" s="275" t="s">
        <v>83</v>
      </c>
      <c r="E245" s="275" t="s">
        <v>934</v>
      </c>
      <c r="F245" s="275" t="s">
        <v>915</v>
      </c>
      <c r="G245" s="275" t="s">
        <v>916</v>
      </c>
      <c r="H245" s="275" t="s">
        <v>466</v>
      </c>
      <c r="I245" s="275" t="s">
        <v>466</v>
      </c>
      <c r="J245" s="275" t="s">
        <v>31</v>
      </c>
      <c r="K245" s="292" t="s">
        <v>1256</v>
      </c>
      <c r="L245" s="274">
        <v>46174</v>
      </c>
      <c r="M245" s="276" t="s">
        <v>1004</v>
      </c>
    </row>
    <row r="246" spans="1:13" ht="18" customHeight="1">
      <c r="A246" s="286">
        <v>46168</v>
      </c>
      <c r="B246" s="38">
        <f t="shared" si="3"/>
        <v>22</v>
      </c>
      <c r="C246" s="276" t="s">
        <v>1168</v>
      </c>
      <c r="D246" s="275" t="s">
        <v>582</v>
      </c>
      <c r="E246" s="275" t="s">
        <v>942</v>
      </c>
      <c r="F246" s="275" t="s">
        <v>926</v>
      </c>
      <c r="G246" s="275" t="s">
        <v>916</v>
      </c>
      <c r="H246" s="275" t="s">
        <v>30</v>
      </c>
      <c r="I246" s="275" t="s">
        <v>39</v>
      </c>
      <c r="J246" s="275" t="s">
        <v>31</v>
      </c>
      <c r="K246" s="292" t="s">
        <v>1217</v>
      </c>
      <c r="L246" s="274">
        <v>46174</v>
      </c>
      <c r="M246" s="276" t="s">
        <v>1170</v>
      </c>
    </row>
    <row r="247" spans="1:13" ht="18" customHeight="1">
      <c r="A247" s="284">
        <v>46168</v>
      </c>
      <c r="B247" s="38">
        <f t="shared" si="3"/>
        <v>22</v>
      </c>
      <c r="C247" s="261" t="s">
        <v>1028</v>
      </c>
      <c r="D247" s="259"/>
      <c r="E247" s="259" t="s">
        <v>950</v>
      </c>
      <c r="F247" s="259" t="s">
        <v>990</v>
      </c>
      <c r="G247" s="259" t="s">
        <v>991</v>
      </c>
      <c r="H247" s="259" t="s">
        <v>466</v>
      </c>
      <c r="I247" s="259" t="s">
        <v>466</v>
      </c>
      <c r="J247" s="259" t="s">
        <v>31</v>
      </c>
      <c r="K247" s="291" t="s">
        <v>1144</v>
      </c>
      <c r="L247" s="260">
        <v>46174</v>
      </c>
      <c r="M247" s="261" t="s">
        <v>1257</v>
      </c>
    </row>
    <row r="248" spans="1:13" ht="18" customHeight="1">
      <c r="A248" s="286">
        <v>46168</v>
      </c>
      <c r="B248" s="38">
        <f t="shared" si="3"/>
        <v>22</v>
      </c>
      <c r="C248" s="276" t="s">
        <v>959</v>
      </c>
      <c r="D248" s="275"/>
      <c r="E248" s="275" t="s">
        <v>960</v>
      </c>
      <c r="F248" s="275" t="s">
        <v>961</v>
      </c>
      <c r="G248" s="275" t="s">
        <v>466</v>
      </c>
      <c r="H248" s="275" t="s">
        <v>466</v>
      </c>
      <c r="I248" s="275" t="s">
        <v>466</v>
      </c>
      <c r="J248" s="275" t="s">
        <v>962</v>
      </c>
      <c r="K248" s="292" t="s">
        <v>1258</v>
      </c>
      <c r="L248" s="274"/>
      <c r="M248" s="276"/>
    </row>
    <row r="249" spans="1:13">
      <c r="A249" s="287">
        <v>46221</v>
      </c>
      <c r="B249" s="59">
        <f t="shared" si="3"/>
        <v>29</v>
      </c>
      <c r="C249" s="60"/>
      <c r="D249" s="59"/>
      <c r="E249" s="59"/>
      <c r="F249" s="59"/>
      <c r="G249" s="59"/>
      <c r="H249" s="59"/>
      <c r="I249" s="59"/>
      <c r="J249" s="59"/>
      <c r="K249" s="60"/>
      <c r="L249" s="59"/>
      <c r="M249" s="60"/>
    </row>
    <row r="250" spans="1:13">
      <c r="A250" s="287"/>
      <c r="B250" s="59">
        <f t="shared" si="3"/>
        <v>0</v>
      </c>
      <c r="C250" s="60"/>
      <c r="D250" s="59"/>
      <c r="E250" s="59"/>
      <c r="F250" s="59"/>
      <c r="G250" s="59"/>
      <c r="H250" s="59"/>
      <c r="I250" s="59"/>
      <c r="J250" s="59"/>
      <c r="K250" s="60"/>
      <c r="L250" s="59"/>
      <c r="M250" s="60"/>
    </row>
    <row r="251" spans="1:13">
      <c r="A251" s="286">
        <v>46229</v>
      </c>
      <c r="B251" s="38">
        <f t="shared" si="3"/>
        <v>31</v>
      </c>
      <c r="C251" s="39" t="s">
        <v>1259</v>
      </c>
      <c r="D251" s="38" t="s">
        <v>64</v>
      </c>
      <c r="E251" s="38" t="s">
        <v>1260</v>
      </c>
      <c r="F251" s="38" t="s">
        <v>926</v>
      </c>
      <c r="G251" s="38" t="s">
        <v>943</v>
      </c>
      <c r="H251" s="38" t="s">
        <v>30</v>
      </c>
      <c r="I251" s="283" t="s">
        <v>225</v>
      </c>
      <c r="J251" s="38" t="s">
        <v>34</v>
      </c>
      <c r="K251" s="39" t="s">
        <v>1261</v>
      </c>
    </row>
    <row r="252" spans="1:13">
      <c r="A252" s="286">
        <v>46229</v>
      </c>
      <c r="B252" s="38">
        <f t="shared" si="3"/>
        <v>31</v>
      </c>
      <c r="C252" s="39" t="s">
        <v>1262</v>
      </c>
      <c r="E252" s="38" t="s">
        <v>1263</v>
      </c>
      <c r="F252" s="38" t="s">
        <v>915</v>
      </c>
      <c r="G252" s="38" t="s">
        <v>1264</v>
      </c>
      <c r="I252" s="283" t="s">
        <v>225</v>
      </c>
      <c r="J252" s="38" t="s">
        <v>34</v>
      </c>
      <c r="K252" s="39" t="s">
        <v>1262</v>
      </c>
    </row>
    <row r="253" spans="1:13" ht="25.5">
      <c r="A253" s="286">
        <v>46229</v>
      </c>
      <c r="B253" s="38">
        <f t="shared" si="3"/>
        <v>31</v>
      </c>
      <c r="C253" s="39" t="s">
        <v>1265</v>
      </c>
      <c r="D253" s="38" t="s">
        <v>543</v>
      </c>
      <c r="E253" s="38" t="s">
        <v>1266</v>
      </c>
      <c r="F253" s="38" t="s">
        <v>926</v>
      </c>
      <c r="G253" s="38" t="s">
        <v>943</v>
      </c>
      <c r="I253" s="283" t="s">
        <v>225</v>
      </c>
      <c r="J253" s="38" t="s">
        <v>34</v>
      </c>
      <c r="K253" s="39" t="s">
        <v>1267</v>
      </c>
    </row>
    <row r="254" spans="1:13">
      <c r="A254" s="286">
        <v>46229</v>
      </c>
      <c r="B254" s="38">
        <f t="shared" si="3"/>
        <v>31</v>
      </c>
      <c r="C254" s="39" t="s">
        <v>1268</v>
      </c>
      <c r="E254" s="38" t="s">
        <v>1269</v>
      </c>
      <c r="F254" s="38" t="s">
        <v>990</v>
      </c>
      <c r="G254" s="38" t="s">
        <v>943</v>
      </c>
      <c r="I254" s="283" t="s">
        <v>225</v>
      </c>
      <c r="J254" s="38" t="s">
        <v>34</v>
      </c>
      <c r="K254" s="39" t="s">
        <v>1270</v>
      </c>
    </row>
    <row r="255" spans="1:13" s="59" customFormat="1">
      <c r="A255" s="287"/>
      <c r="B255" s="59">
        <f t="shared" si="3"/>
        <v>0</v>
      </c>
      <c r="C255" s="60"/>
      <c r="K255" s="60"/>
      <c r="M255" s="60"/>
    </row>
    <row r="256" spans="1:13" ht="14.25">
      <c r="A256" s="286">
        <v>46230</v>
      </c>
      <c r="B256" s="38">
        <f t="shared" si="3"/>
        <v>31</v>
      </c>
      <c r="C256" s="39" t="s">
        <v>1271</v>
      </c>
      <c r="E256" s="38" t="s">
        <v>1260</v>
      </c>
      <c r="F256" s="259" t="s">
        <v>915</v>
      </c>
      <c r="G256" s="38" t="s">
        <v>1264</v>
      </c>
      <c r="I256" s="220" t="s">
        <v>225</v>
      </c>
      <c r="J256" s="38" t="s">
        <v>34</v>
      </c>
      <c r="K256" s="39" t="s">
        <v>1272</v>
      </c>
    </row>
    <row r="257" spans="1:13" ht="25.5">
      <c r="A257" s="286">
        <v>46230</v>
      </c>
      <c r="B257" s="38">
        <f t="shared" si="3"/>
        <v>31</v>
      </c>
      <c r="C257" s="39" t="s">
        <v>1273</v>
      </c>
      <c r="E257" s="38" t="s">
        <v>1263</v>
      </c>
      <c r="F257" s="259" t="s">
        <v>990</v>
      </c>
      <c r="G257" s="38" t="s">
        <v>943</v>
      </c>
      <c r="I257" s="220" t="s">
        <v>225</v>
      </c>
      <c r="J257" s="38" t="s">
        <v>34</v>
      </c>
      <c r="K257" s="39" t="s">
        <v>1274</v>
      </c>
    </row>
    <row r="258" spans="1:13" ht="14.25">
      <c r="A258" s="286">
        <v>46230</v>
      </c>
      <c r="B258" s="38">
        <f t="shared" ref="B258:B321" si="4">WEEKNUM(A258)</f>
        <v>31</v>
      </c>
      <c r="C258" s="294" t="s">
        <v>1275</v>
      </c>
      <c r="E258" s="38" t="s">
        <v>1266</v>
      </c>
      <c r="F258" s="259" t="s">
        <v>990</v>
      </c>
      <c r="G258" s="38" t="s">
        <v>943</v>
      </c>
      <c r="I258" s="220" t="s">
        <v>225</v>
      </c>
      <c r="J258" s="38" t="s">
        <v>34</v>
      </c>
      <c r="K258" s="39" t="s">
        <v>1276</v>
      </c>
    </row>
    <row r="259" spans="1:13" ht="14.25">
      <c r="A259" s="286">
        <v>46230</v>
      </c>
      <c r="B259" s="38">
        <f t="shared" si="4"/>
        <v>31</v>
      </c>
      <c r="C259" s="39" t="s">
        <v>1277</v>
      </c>
      <c r="E259" s="38" t="s">
        <v>1278</v>
      </c>
      <c r="F259" s="259" t="s">
        <v>990</v>
      </c>
      <c r="G259" s="38" t="s">
        <v>943</v>
      </c>
      <c r="I259" s="220" t="s">
        <v>225</v>
      </c>
      <c r="J259" s="38" t="s">
        <v>34</v>
      </c>
      <c r="K259" s="39" t="s">
        <v>1279</v>
      </c>
    </row>
    <row r="260" spans="1:13" ht="14.25">
      <c r="A260" s="286">
        <v>46230</v>
      </c>
      <c r="B260" s="38">
        <f t="shared" si="4"/>
        <v>31</v>
      </c>
      <c r="C260" s="39" t="s">
        <v>1268</v>
      </c>
      <c r="E260" s="38" t="s">
        <v>1280</v>
      </c>
      <c r="F260" s="259" t="s">
        <v>990</v>
      </c>
      <c r="G260" s="38" t="s">
        <v>943</v>
      </c>
      <c r="I260" s="220" t="s">
        <v>225</v>
      </c>
      <c r="J260" s="38" t="s">
        <v>34</v>
      </c>
      <c r="K260" s="39" t="s">
        <v>1281</v>
      </c>
    </row>
    <row r="261" spans="1:13">
      <c r="A261" s="286">
        <v>46230</v>
      </c>
      <c r="B261" s="38">
        <f t="shared" si="4"/>
        <v>31</v>
      </c>
      <c r="E261" s="38" t="s">
        <v>1269</v>
      </c>
      <c r="F261" s="275" t="s">
        <v>961</v>
      </c>
      <c r="K261" s="39" t="s">
        <v>1282</v>
      </c>
    </row>
    <row r="262" spans="1:13">
      <c r="A262" s="59"/>
      <c r="B262" s="59">
        <f t="shared" si="4"/>
        <v>0</v>
      </c>
      <c r="C262" s="60"/>
      <c r="D262" s="59"/>
      <c r="E262" s="59"/>
      <c r="F262" s="59"/>
      <c r="G262" s="59"/>
      <c r="H262" s="59"/>
      <c r="I262" s="59"/>
      <c r="J262" s="59"/>
      <c r="K262" s="60"/>
      <c r="L262" s="59"/>
    </row>
    <row r="263" spans="1:13" ht="14.25">
      <c r="A263" s="286">
        <v>46231</v>
      </c>
      <c r="B263" s="38">
        <f t="shared" si="4"/>
        <v>31</v>
      </c>
      <c r="C263" s="39" t="s">
        <v>1271</v>
      </c>
      <c r="E263" s="38" t="s">
        <v>1260</v>
      </c>
      <c r="F263" s="259" t="s">
        <v>915</v>
      </c>
      <c r="G263" s="38" t="s">
        <v>1264</v>
      </c>
      <c r="H263" s="288"/>
      <c r="I263" s="220" t="s">
        <v>225</v>
      </c>
      <c r="J263" s="38" t="s">
        <v>34</v>
      </c>
      <c r="K263" s="39" t="s">
        <v>1272</v>
      </c>
    </row>
    <row r="264" spans="1:13" ht="14.25">
      <c r="A264" s="286">
        <v>46231</v>
      </c>
      <c r="B264" s="38">
        <f t="shared" si="4"/>
        <v>31</v>
      </c>
      <c r="C264" s="39" t="s">
        <v>1283</v>
      </c>
      <c r="E264" s="38" t="s">
        <v>1284</v>
      </c>
      <c r="F264" s="259" t="s">
        <v>990</v>
      </c>
      <c r="G264" s="38" t="s">
        <v>943</v>
      </c>
      <c r="H264" s="288"/>
      <c r="I264" s="220" t="s">
        <v>225</v>
      </c>
      <c r="J264" s="220" t="s">
        <v>31</v>
      </c>
      <c r="K264" s="39" t="s">
        <v>1285</v>
      </c>
    </row>
    <row r="265" spans="1:13" ht="14.25">
      <c r="A265" s="286">
        <v>46231</v>
      </c>
      <c r="B265" s="38">
        <f t="shared" si="4"/>
        <v>31</v>
      </c>
      <c r="C265" s="39" t="s">
        <v>1286</v>
      </c>
      <c r="E265" s="38" t="s">
        <v>1278</v>
      </c>
      <c r="F265" s="259" t="s">
        <v>990</v>
      </c>
      <c r="H265" s="288"/>
      <c r="I265" s="220" t="s">
        <v>225</v>
      </c>
      <c r="J265" s="220" t="s">
        <v>31</v>
      </c>
      <c r="K265" s="39" t="s">
        <v>1287</v>
      </c>
    </row>
    <row r="266" spans="1:13" ht="25.5">
      <c r="A266" s="286">
        <v>46231</v>
      </c>
      <c r="B266" s="38">
        <f t="shared" si="4"/>
        <v>31</v>
      </c>
      <c r="C266" s="294" t="s">
        <v>1288</v>
      </c>
      <c r="E266" s="38" t="s">
        <v>1278</v>
      </c>
      <c r="F266" s="259" t="s">
        <v>990</v>
      </c>
      <c r="H266" s="288"/>
      <c r="I266" s="220" t="s">
        <v>225</v>
      </c>
      <c r="J266" s="220" t="s">
        <v>31</v>
      </c>
      <c r="K266" s="39" t="s">
        <v>1289</v>
      </c>
    </row>
    <row r="267" spans="1:13" ht="14.25">
      <c r="A267" s="286">
        <v>46231</v>
      </c>
      <c r="B267" s="38">
        <f t="shared" si="4"/>
        <v>31</v>
      </c>
      <c r="C267" s="39" t="s">
        <v>1114</v>
      </c>
      <c r="E267" s="38" t="s">
        <v>1280</v>
      </c>
      <c r="F267" s="259" t="s">
        <v>990</v>
      </c>
      <c r="H267" s="288"/>
      <c r="I267" s="220" t="s">
        <v>225</v>
      </c>
      <c r="J267" s="220" t="s">
        <v>31</v>
      </c>
    </row>
    <row r="268" spans="1:13">
      <c r="A268" s="286">
        <v>46231</v>
      </c>
      <c r="B268" s="38">
        <f t="shared" si="4"/>
        <v>31</v>
      </c>
      <c r="E268" s="38" t="s">
        <v>1269</v>
      </c>
      <c r="F268" s="275" t="s">
        <v>961</v>
      </c>
      <c r="H268" s="288"/>
      <c r="K268" s="293" t="s">
        <v>1290</v>
      </c>
    </row>
    <row r="269" spans="1:13" s="59" customFormat="1">
      <c r="A269" s="287">
        <v>46231</v>
      </c>
      <c r="B269" s="59">
        <f t="shared" si="4"/>
        <v>31</v>
      </c>
      <c r="C269" s="60"/>
      <c r="F269" s="282"/>
      <c r="H269" s="282"/>
      <c r="K269" s="60"/>
      <c r="M269" s="60"/>
    </row>
    <row r="270" spans="1:13" ht="14.25">
      <c r="A270" s="286">
        <v>46228</v>
      </c>
      <c r="B270" s="38">
        <f t="shared" si="4"/>
        <v>30</v>
      </c>
      <c r="C270" s="39" t="s">
        <v>1271</v>
      </c>
      <c r="E270" s="38" t="s">
        <v>1260</v>
      </c>
      <c r="F270" s="259" t="s">
        <v>915</v>
      </c>
      <c r="G270" s="38" t="s">
        <v>1264</v>
      </c>
      <c r="H270" s="288"/>
      <c r="I270" s="220" t="s">
        <v>225</v>
      </c>
      <c r="J270" s="220"/>
      <c r="K270" s="39" t="s">
        <v>1272</v>
      </c>
    </row>
    <row r="271" spans="1:13" ht="25.5">
      <c r="A271" s="286">
        <v>46228</v>
      </c>
      <c r="B271" s="38">
        <f t="shared" si="4"/>
        <v>30</v>
      </c>
      <c r="C271" s="39" t="s">
        <v>1283</v>
      </c>
      <c r="E271" s="38" t="s">
        <v>1284</v>
      </c>
      <c r="F271" s="259" t="s">
        <v>990</v>
      </c>
      <c r="G271" s="38" t="s">
        <v>943</v>
      </c>
      <c r="H271" s="288"/>
      <c r="I271" s="220" t="s">
        <v>225</v>
      </c>
      <c r="J271" s="220" t="s">
        <v>31</v>
      </c>
      <c r="K271" s="39" t="s">
        <v>1291</v>
      </c>
    </row>
    <row r="272" spans="1:13" ht="25.5">
      <c r="A272" s="286">
        <v>46228</v>
      </c>
      <c r="B272" s="38">
        <f t="shared" si="4"/>
        <v>30</v>
      </c>
      <c r="C272" s="39" t="s">
        <v>1292</v>
      </c>
      <c r="E272" s="38" t="s">
        <v>1278</v>
      </c>
      <c r="F272" s="275" t="s">
        <v>990</v>
      </c>
      <c r="H272" s="288"/>
      <c r="I272" s="220" t="s">
        <v>225</v>
      </c>
      <c r="J272" s="220" t="s">
        <v>31</v>
      </c>
      <c r="K272" s="39" t="s">
        <v>1293</v>
      </c>
    </row>
    <row r="273" spans="1:13" ht="25.5">
      <c r="A273" s="286">
        <v>46228</v>
      </c>
      <c r="B273" s="38">
        <f t="shared" si="4"/>
        <v>30</v>
      </c>
      <c r="C273" s="39" t="s">
        <v>1286</v>
      </c>
      <c r="E273" s="38" t="s">
        <v>1278</v>
      </c>
      <c r="F273" s="259" t="s">
        <v>990</v>
      </c>
      <c r="H273" s="288"/>
      <c r="I273" s="220" t="s">
        <v>225</v>
      </c>
      <c r="J273" s="220" t="s">
        <v>31</v>
      </c>
      <c r="K273" s="39" t="s">
        <v>1294</v>
      </c>
    </row>
    <row r="274" spans="1:13" ht="14.25">
      <c r="A274" s="286">
        <v>46228</v>
      </c>
      <c r="B274" s="38">
        <f t="shared" si="4"/>
        <v>30</v>
      </c>
      <c r="C274" s="39" t="s">
        <v>1114</v>
      </c>
      <c r="E274" s="38" t="s">
        <v>1280</v>
      </c>
      <c r="F274" s="259" t="s">
        <v>990</v>
      </c>
      <c r="H274" s="288"/>
      <c r="I274" s="220" t="s">
        <v>225</v>
      </c>
      <c r="J274" s="220" t="s">
        <v>31</v>
      </c>
    </row>
    <row r="275" spans="1:13" ht="14.25">
      <c r="A275" s="286">
        <v>46228</v>
      </c>
      <c r="B275" s="38">
        <f t="shared" si="4"/>
        <v>30</v>
      </c>
      <c r="E275" s="38" t="s">
        <v>1269</v>
      </c>
      <c r="F275" s="275" t="s">
        <v>961</v>
      </c>
      <c r="H275" s="288"/>
      <c r="I275" s="220"/>
      <c r="J275" s="220"/>
      <c r="K275" s="39" t="s">
        <v>1282</v>
      </c>
    </row>
    <row r="276" spans="1:13" s="59" customFormat="1" ht="14.25">
      <c r="A276" s="287"/>
      <c r="B276" s="59">
        <f t="shared" si="4"/>
        <v>0</v>
      </c>
      <c r="C276" s="60"/>
      <c r="F276" s="282"/>
      <c r="H276" s="282"/>
      <c r="I276" s="290"/>
      <c r="J276" s="290"/>
      <c r="K276" s="60"/>
      <c r="M276" s="60"/>
    </row>
    <row r="277" spans="1:13" ht="14.25">
      <c r="A277" s="286">
        <v>46232</v>
      </c>
      <c r="B277" s="38">
        <f t="shared" si="4"/>
        <v>31</v>
      </c>
      <c r="C277" s="39" t="s">
        <v>1271</v>
      </c>
      <c r="E277" s="38" t="s">
        <v>1260</v>
      </c>
      <c r="F277" s="259" t="s">
        <v>915</v>
      </c>
      <c r="G277" s="38" t="s">
        <v>1264</v>
      </c>
      <c r="H277" s="288"/>
      <c r="I277" s="220" t="s">
        <v>225</v>
      </c>
      <c r="J277" s="38" t="s">
        <v>34</v>
      </c>
      <c r="K277" s="39" t="s">
        <v>1272</v>
      </c>
    </row>
    <row r="278" spans="1:13" ht="14.25">
      <c r="A278" s="286">
        <v>46232</v>
      </c>
      <c r="B278" s="38">
        <f t="shared" si="4"/>
        <v>31</v>
      </c>
      <c r="C278" s="39" t="s">
        <v>1295</v>
      </c>
      <c r="E278" s="38" t="s">
        <v>1296</v>
      </c>
      <c r="F278" s="288" t="s">
        <v>961</v>
      </c>
      <c r="G278" s="38" t="s">
        <v>916</v>
      </c>
      <c r="H278" s="288"/>
      <c r="I278" s="220"/>
      <c r="J278" s="38" t="s">
        <v>34</v>
      </c>
    </row>
    <row r="279" spans="1:13" ht="14.25">
      <c r="A279" s="286">
        <v>46232</v>
      </c>
      <c r="B279" s="38">
        <f t="shared" si="4"/>
        <v>31</v>
      </c>
      <c r="C279" s="39" t="s">
        <v>1297</v>
      </c>
      <c r="E279" s="38" t="s">
        <v>1280</v>
      </c>
      <c r="F279" s="288" t="s">
        <v>990</v>
      </c>
      <c r="G279" s="38" t="s">
        <v>943</v>
      </c>
      <c r="H279" s="288"/>
      <c r="I279" s="220"/>
      <c r="J279" s="38" t="s">
        <v>34</v>
      </c>
    </row>
    <row r="280" spans="1:13" ht="14.25">
      <c r="A280" s="286">
        <v>46232</v>
      </c>
      <c r="B280" s="38">
        <f t="shared" si="4"/>
        <v>31</v>
      </c>
      <c r="C280" s="39" t="s">
        <v>1298</v>
      </c>
      <c r="E280" s="38" t="s">
        <v>1269</v>
      </c>
      <c r="F280" s="288" t="s">
        <v>947</v>
      </c>
      <c r="G280" s="38" t="s">
        <v>916</v>
      </c>
      <c r="H280" s="288"/>
      <c r="I280" s="220"/>
      <c r="J280" s="38" t="s">
        <v>34</v>
      </c>
    </row>
    <row r="281" spans="1:13" s="59" customFormat="1" ht="14.25">
      <c r="A281" s="287"/>
      <c r="B281" s="59">
        <f t="shared" si="4"/>
        <v>0</v>
      </c>
      <c r="C281" s="60"/>
      <c r="F281" s="282"/>
      <c r="H281" s="282"/>
      <c r="I281" s="290"/>
      <c r="J281" s="290"/>
      <c r="K281" s="60"/>
      <c r="M281" s="60"/>
    </row>
    <row r="282" spans="1:13" ht="14.25">
      <c r="A282" s="286">
        <v>46233</v>
      </c>
      <c r="B282" s="38">
        <f t="shared" si="4"/>
        <v>31</v>
      </c>
      <c r="C282" s="39" t="s">
        <v>1271</v>
      </c>
      <c r="E282" s="38" t="s">
        <v>1260</v>
      </c>
      <c r="F282" s="259" t="s">
        <v>915</v>
      </c>
      <c r="G282" s="38" t="s">
        <v>1264</v>
      </c>
      <c r="H282" s="288"/>
      <c r="I282" s="220" t="s">
        <v>225</v>
      </c>
      <c r="J282" s="38" t="s">
        <v>34</v>
      </c>
      <c r="K282" s="39" t="s">
        <v>1272</v>
      </c>
    </row>
    <row r="283" spans="1:13" ht="25.5">
      <c r="A283" s="286">
        <v>46233</v>
      </c>
      <c r="B283" s="38">
        <f t="shared" si="4"/>
        <v>31</v>
      </c>
      <c r="C283" s="39" t="s">
        <v>1292</v>
      </c>
      <c r="E283" s="38" t="s">
        <v>1263</v>
      </c>
      <c r="F283" s="275" t="s">
        <v>990</v>
      </c>
      <c r="H283" s="288"/>
      <c r="I283" s="220" t="s">
        <v>225</v>
      </c>
      <c r="J283" s="220" t="s">
        <v>31</v>
      </c>
      <c r="K283" s="39" t="s">
        <v>1293</v>
      </c>
    </row>
    <row r="284" spans="1:13" ht="14.25">
      <c r="A284" s="286">
        <v>46233</v>
      </c>
      <c r="B284" s="38">
        <f t="shared" si="4"/>
        <v>31</v>
      </c>
      <c r="C284" s="39" t="s">
        <v>1299</v>
      </c>
      <c r="D284" s="38" t="s">
        <v>543</v>
      </c>
      <c r="E284" s="38" t="s">
        <v>1278</v>
      </c>
      <c r="F284" s="275" t="s">
        <v>926</v>
      </c>
      <c r="G284" s="38" t="s">
        <v>943</v>
      </c>
      <c r="H284" s="288"/>
      <c r="I284" s="220" t="s">
        <v>225</v>
      </c>
      <c r="J284" s="220" t="s">
        <v>31</v>
      </c>
    </row>
    <row r="285" spans="1:13" ht="14.25">
      <c r="A285" s="286">
        <v>46233</v>
      </c>
      <c r="B285" s="38">
        <f t="shared" si="4"/>
        <v>31</v>
      </c>
      <c r="C285" s="39" t="s">
        <v>1300</v>
      </c>
      <c r="E285" s="38" t="s">
        <v>1278</v>
      </c>
      <c r="F285" s="259" t="s">
        <v>990</v>
      </c>
      <c r="G285" s="38" t="s">
        <v>943</v>
      </c>
      <c r="H285" s="288"/>
      <c r="I285" s="220" t="s">
        <v>225</v>
      </c>
      <c r="J285" s="220" t="s">
        <v>31</v>
      </c>
    </row>
    <row r="286" spans="1:13" ht="14.25">
      <c r="A286" s="286">
        <v>46233</v>
      </c>
      <c r="B286" s="38">
        <f t="shared" si="4"/>
        <v>31</v>
      </c>
      <c r="C286" s="39" t="s">
        <v>1114</v>
      </c>
      <c r="E286" s="38" t="s">
        <v>1280</v>
      </c>
      <c r="F286" s="259" t="s">
        <v>990</v>
      </c>
      <c r="G286" s="38" t="s">
        <v>943</v>
      </c>
      <c r="H286" s="288"/>
      <c r="I286" s="220" t="s">
        <v>225</v>
      </c>
      <c r="J286" s="220" t="s">
        <v>31</v>
      </c>
    </row>
    <row r="287" spans="1:13" ht="14.25">
      <c r="A287" s="286">
        <v>46233</v>
      </c>
      <c r="B287" s="38">
        <f t="shared" si="4"/>
        <v>31</v>
      </c>
      <c r="E287" s="38" t="s">
        <v>1269</v>
      </c>
      <c r="F287" s="275" t="s">
        <v>961</v>
      </c>
      <c r="H287" s="288"/>
      <c r="I287" s="220"/>
      <c r="J287" s="220"/>
      <c r="K287" s="39" t="s">
        <v>1282</v>
      </c>
    </row>
    <row r="288" spans="1:13" s="59" customFormat="1" ht="14.25">
      <c r="A288" s="287"/>
      <c r="B288" s="59">
        <f t="shared" si="4"/>
        <v>0</v>
      </c>
      <c r="C288" s="60"/>
      <c r="F288" s="282"/>
      <c r="H288" s="282"/>
      <c r="I288" s="290"/>
      <c r="J288" s="290"/>
      <c r="K288" s="60"/>
      <c r="M288" s="60"/>
    </row>
    <row r="289" spans="1:13" ht="14.25">
      <c r="A289" s="286">
        <v>46235</v>
      </c>
      <c r="B289" s="38">
        <f t="shared" si="4"/>
        <v>31</v>
      </c>
      <c r="C289" s="39" t="s">
        <v>1301</v>
      </c>
      <c r="E289" s="38" t="s">
        <v>1260</v>
      </c>
      <c r="F289" s="259" t="s">
        <v>990</v>
      </c>
      <c r="G289" s="38" t="s">
        <v>943</v>
      </c>
      <c r="H289" s="288"/>
      <c r="I289" s="220" t="s">
        <v>225</v>
      </c>
      <c r="J289" s="220" t="s">
        <v>34</v>
      </c>
    </row>
    <row r="290" spans="1:13" ht="19.5" customHeight="1">
      <c r="A290" s="286">
        <v>46235</v>
      </c>
      <c r="B290" s="38">
        <f t="shared" si="4"/>
        <v>31</v>
      </c>
      <c r="C290" s="39" t="s">
        <v>277</v>
      </c>
      <c r="E290" s="38" t="s">
        <v>1263</v>
      </c>
      <c r="F290" s="275" t="s">
        <v>990</v>
      </c>
      <c r="G290" s="38" t="s">
        <v>943</v>
      </c>
      <c r="H290" s="288"/>
      <c r="I290" s="220" t="s">
        <v>225</v>
      </c>
      <c r="J290" s="220" t="s">
        <v>34</v>
      </c>
    </row>
    <row r="291" spans="1:13" ht="14.25">
      <c r="A291" s="286">
        <v>46235</v>
      </c>
      <c r="B291" s="38">
        <f t="shared" si="4"/>
        <v>31</v>
      </c>
      <c r="C291" s="39" t="s">
        <v>1302</v>
      </c>
      <c r="E291" s="38" t="s">
        <v>1296</v>
      </c>
      <c r="F291" s="259" t="s">
        <v>990</v>
      </c>
      <c r="G291" s="38" t="s">
        <v>943</v>
      </c>
      <c r="H291" s="288"/>
      <c r="I291" s="220" t="s">
        <v>225</v>
      </c>
      <c r="J291" s="220" t="s">
        <v>34</v>
      </c>
    </row>
    <row r="292" spans="1:13" ht="14.25">
      <c r="A292" s="286">
        <v>46235</v>
      </c>
      <c r="B292" s="38">
        <f t="shared" si="4"/>
        <v>31</v>
      </c>
      <c r="C292" s="39" t="s">
        <v>1114</v>
      </c>
      <c r="E292" s="38" t="s">
        <v>1284</v>
      </c>
      <c r="F292" s="259" t="s">
        <v>990</v>
      </c>
      <c r="G292" s="38" t="s">
        <v>943</v>
      </c>
      <c r="H292" s="288"/>
      <c r="I292" s="220" t="s">
        <v>225</v>
      </c>
      <c r="J292" s="220" t="s">
        <v>34</v>
      </c>
    </row>
    <row r="293" spans="1:13" ht="14.25">
      <c r="A293" s="286">
        <v>46235</v>
      </c>
      <c r="B293" s="38">
        <f t="shared" si="4"/>
        <v>31</v>
      </c>
      <c r="C293" s="39" t="s">
        <v>1272</v>
      </c>
      <c r="E293" s="38" t="s">
        <v>1278</v>
      </c>
      <c r="F293" s="288" t="s">
        <v>915</v>
      </c>
      <c r="G293" s="38" t="s">
        <v>991</v>
      </c>
      <c r="H293" s="288"/>
      <c r="I293" s="220" t="s">
        <v>225</v>
      </c>
      <c r="J293" s="220"/>
      <c r="K293" s="39" t="s">
        <v>1272</v>
      </c>
    </row>
    <row r="294" spans="1:13" ht="14.25">
      <c r="A294" s="286">
        <v>46235</v>
      </c>
      <c r="B294" s="38">
        <f t="shared" si="4"/>
        <v>31</v>
      </c>
      <c r="E294" s="38" t="s">
        <v>1269</v>
      </c>
      <c r="F294" s="288" t="s">
        <v>961</v>
      </c>
      <c r="H294" s="288"/>
      <c r="I294" s="220"/>
      <c r="J294" s="220"/>
      <c r="K294" s="39" t="s">
        <v>1282</v>
      </c>
    </row>
    <row r="295" spans="1:13" s="59" customFormat="1" ht="14.25">
      <c r="A295" s="287"/>
      <c r="B295" s="59">
        <f t="shared" si="4"/>
        <v>0</v>
      </c>
      <c r="C295" s="60"/>
      <c r="F295" s="282"/>
      <c r="H295" s="282"/>
      <c r="I295" s="290"/>
      <c r="J295" s="290"/>
      <c r="K295" s="60"/>
      <c r="M295" s="60"/>
    </row>
    <row r="296" spans="1:13" ht="51">
      <c r="A296" s="286">
        <v>46236</v>
      </c>
      <c r="B296" s="38">
        <f t="shared" si="4"/>
        <v>32</v>
      </c>
      <c r="C296" s="39" t="s">
        <v>1303</v>
      </c>
      <c r="E296" s="38" t="s">
        <v>1260</v>
      </c>
      <c r="F296" s="259" t="s">
        <v>990</v>
      </c>
      <c r="G296" s="38" t="s">
        <v>943</v>
      </c>
      <c r="H296" s="288"/>
      <c r="I296" s="220" t="s">
        <v>225</v>
      </c>
      <c r="J296" s="220" t="s">
        <v>31</v>
      </c>
      <c r="K296" s="39" t="s">
        <v>1304</v>
      </c>
    </row>
    <row r="297" spans="1:13" ht="76.5">
      <c r="A297" s="286">
        <v>46236</v>
      </c>
      <c r="B297" s="38">
        <f t="shared" si="4"/>
        <v>32</v>
      </c>
      <c r="C297" s="309" t="s">
        <v>1305</v>
      </c>
      <c r="D297" s="310"/>
      <c r="E297" s="310" t="s">
        <v>1263</v>
      </c>
      <c r="F297" s="311" t="s">
        <v>990</v>
      </c>
      <c r="G297" s="310" t="s">
        <v>943</v>
      </c>
      <c r="H297" s="311"/>
      <c r="I297" s="312" t="s">
        <v>225</v>
      </c>
      <c r="J297" s="312" t="s">
        <v>31</v>
      </c>
      <c r="K297" s="309" t="s">
        <v>1306</v>
      </c>
    </row>
    <row r="298" spans="1:13" ht="89.25">
      <c r="A298" s="286">
        <v>46236</v>
      </c>
      <c r="B298" s="38">
        <f t="shared" si="4"/>
        <v>32</v>
      </c>
      <c r="C298" s="39" t="s">
        <v>1307</v>
      </c>
      <c r="E298" s="38" t="s">
        <v>1296</v>
      </c>
      <c r="F298" s="259" t="s">
        <v>990</v>
      </c>
      <c r="G298" s="38" t="s">
        <v>943</v>
      </c>
      <c r="H298" s="288"/>
      <c r="I298" s="220" t="s">
        <v>225</v>
      </c>
      <c r="J298" s="220" t="s">
        <v>31</v>
      </c>
      <c r="K298" s="39" t="s">
        <v>1308</v>
      </c>
    </row>
    <row r="299" spans="1:13" ht="31.5" customHeight="1">
      <c r="A299" s="286">
        <v>46236</v>
      </c>
      <c r="B299" s="38">
        <f t="shared" si="4"/>
        <v>32</v>
      </c>
      <c r="C299" s="39" t="s">
        <v>1114</v>
      </c>
      <c r="E299" s="38" t="s">
        <v>1284</v>
      </c>
      <c r="F299" s="259" t="s">
        <v>990</v>
      </c>
      <c r="G299" s="38" t="s">
        <v>943</v>
      </c>
      <c r="H299" s="288"/>
      <c r="I299" s="220" t="s">
        <v>225</v>
      </c>
      <c r="J299" s="220" t="s">
        <v>31</v>
      </c>
      <c r="K299" s="39" t="s">
        <v>1309</v>
      </c>
    </row>
    <row r="300" spans="1:13" ht="14.25">
      <c r="A300" s="286">
        <v>46236</v>
      </c>
      <c r="B300" s="38">
        <f t="shared" si="4"/>
        <v>32</v>
      </c>
      <c r="C300" s="39" t="s">
        <v>1272</v>
      </c>
      <c r="E300" s="38" t="s">
        <v>1278</v>
      </c>
      <c r="F300" s="288" t="s">
        <v>915</v>
      </c>
      <c r="G300" s="38" t="s">
        <v>991</v>
      </c>
      <c r="H300" s="288"/>
      <c r="I300" s="220" t="s">
        <v>225</v>
      </c>
      <c r="J300" s="220"/>
      <c r="K300" s="39" t="s">
        <v>1272</v>
      </c>
    </row>
    <row r="301" spans="1:13" ht="14.25">
      <c r="A301" s="286">
        <v>46236</v>
      </c>
      <c r="B301" s="38">
        <f t="shared" si="4"/>
        <v>32</v>
      </c>
      <c r="E301" s="38" t="s">
        <v>1269</v>
      </c>
      <c r="F301" s="288" t="s">
        <v>961</v>
      </c>
      <c r="H301" s="288"/>
      <c r="I301" s="220"/>
      <c r="J301" s="220"/>
      <c r="K301" s="39" t="s">
        <v>1282</v>
      </c>
    </row>
    <row r="302" spans="1:13" s="59" customFormat="1" ht="14.25">
      <c r="A302" s="287"/>
      <c r="B302" s="59">
        <f t="shared" si="4"/>
        <v>0</v>
      </c>
      <c r="C302" s="60"/>
      <c r="F302" s="282"/>
      <c r="H302" s="282"/>
      <c r="I302" s="290"/>
      <c r="J302" s="290"/>
      <c r="K302" s="60"/>
      <c r="M302" s="60"/>
    </row>
    <row r="303" spans="1:13" ht="26.25" customHeight="1">
      <c r="A303" s="286">
        <v>46237</v>
      </c>
      <c r="B303" s="38">
        <f t="shared" si="4"/>
        <v>32</v>
      </c>
      <c r="C303" s="39" t="s">
        <v>1310</v>
      </c>
      <c r="E303" s="38" t="s">
        <v>1260</v>
      </c>
      <c r="F303" s="259" t="s">
        <v>990</v>
      </c>
      <c r="G303" s="38" t="s">
        <v>943</v>
      </c>
      <c r="H303" s="288"/>
      <c r="I303" s="220" t="s">
        <v>225</v>
      </c>
      <c r="J303" s="220" t="s">
        <v>34</v>
      </c>
    </row>
    <row r="304" spans="1:13" ht="14.25">
      <c r="A304" s="286">
        <v>46237</v>
      </c>
      <c r="B304" s="38">
        <f t="shared" si="4"/>
        <v>32</v>
      </c>
      <c r="C304" s="39" t="s">
        <v>1311</v>
      </c>
      <c r="E304" s="38" t="s">
        <v>1263</v>
      </c>
      <c r="F304" s="275" t="s">
        <v>990</v>
      </c>
      <c r="G304" s="38" t="s">
        <v>943</v>
      </c>
      <c r="H304" s="288"/>
      <c r="I304" s="220" t="s">
        <v>225</v>
      </c>
      <c r="J304" s="220" t="s">
        <v>34</v>
      </c>
      <c r="K304" s="47" t="s">
        <v>1312</v>
      </c>
    </row>
    <row r="305" spans="1:13" ht="38.25">
      <c r="A305" s="286">
        <v>46237</v>
      </c>
      <c r="B305" s="38">
        <f t="shared" si="4"/>
        <v>32</v>
      </c>
      <c r="C305" s="39" t="s">
        <v>1313</v>
      </c>
      <c r="E305" s="38" t="s">
        <v>1296</v>
      </c>
      <c r="F305" s="259" t="s">
        <v>990</v>
      </c>
      <c r="G305" s="38" t="s">
        <v>943</v>
      </c>
      <c r="H305" s="288"/>
      <c r="I305" s="220" t="s">
        <v>225</v>
      </c>
      <c r="J305" s="220" t="s">
        <v>34</v>
      </c>
      <c r="K305" s="47" t="s">
        <v>1314</v>
      </c>
    </row>
    <row r="306" spans="1:13" ht="25.5">
      <c r="A306" s="286">
        <v>46237</v>
      </c>
      <c r="B306" s="38">
        <f t="shared" si="4"/>
        <v>32</v>
      </c>
      <c r="C306" s="39" t="s">
        <v>1315</v>
      </c>
      <c r="E306" s="38" t="s">
        <v>1296</v>
      </c>
      <c r="F306" s="259" t="s">
        <v>990</v>
      </c>
      <c r="G306" s="38" t="s">
        <v>943</v>
      </c>
      <c r="H306" s="288"/>
      <c r="I306" s="220" t="s">
        <v>225</v>
      </c>
      <c r="J306" s="220" t="s">
        <v>34</v>
      </c>
      <c r="K306" s="47" t="s">
        <v>1316</v>
      </c>
    </row>
    <row r="307" spans="1:13" ht="51">
      <c r="A307" s="286">
        <v>46237</v>
      </c>
      <c r="B307" s="38">
        <f t="shared" si="4"/>
        <v>32</v>
      </c>
      <c r="C307" s="39" t="s">
        <v>1114</v>
      </c>
      <c r="E307" s="38" t="s">
        <v>1284</v>
      </c>
      <c r="F307" s="259" t="s">
        <v>990</v>
      </c>
      <c r="G307" s="38" t="s">
        <v>943</v>
      </c>
      <c r="H307" s="288"/>
      <c r="I307" s="220" t="s">
        <v>225</v>
      </c>
      <c r="J307" s="220" t="s">
        <v>34</v>
      </c>
      <c r="K307" s="39" t="s">
        <v>1317</v>
      </c>
    </row>
    <row r="308" spans="1:13" ht="14.25">
      <c r="A308" s="286">
        <v>46237</v>
      </c>
      <c r="B308" s="38">
        <f t="shared" si="4"/>
        <v>32</v>
      </c>
      <c r="C308" s="39" t="s">
        <v>1272</v>
      </c>
      <c r="E308" s="38" t="s">
        <v>1278</v>
      </c>
      <c r="F308" s="288" t="s">
        <v>915</v>
      </c>
      <c r="G308" s="38" t="s">
        <v>991</v>
      </c>
      <c r="H308" s="288"/>
      <c r="I308" s="220" t="s">
        <v>225</v>
      </c>
      <c r="J308" s="220"/>
    </row>
    <row r="309" spans="1:13" ht="14.25">
      <c r="A309" s="286">
        <v>46237</v>
      </c>
      <c r="B309" s="38">
        <f t="shared" si="4"/>
        <v>32</v>
      </c>
      <c r="E309" s="38" t="s">
        <v>1269</v>
      </c>
      <c r="F309" s="288" t="s">
        <v>961</v>
      </c>
      <c r="H309" s="288"/>
      <c r="I309" s="220"/>
      <c r="J309" s="220"/>
    </row>
    <row r="310" spans="1:13" s="59" customFormat="1" ht="14.25">
      <c r="A310" s="287"/>
      <c r="B310" s="59">
        <f t="shared" si="4"/>
        <v>0</v>
      </c>
      <c r="C310" s="60"/>
      <c r="F310" s="282"/>
      <c r="H310" s="282"/>
      <c r="I310" s="290"/>
      <c r="J310" s="290"/>
      <c r="K310" s="60"/>
      <c r="M310" s="60"/>
    </row>
    <row r="311" spans="1:13" ht="102">
      <c r="A311" s="286">
        <v>46238</v>
      </c>
      <c r="B311" s="38">
        <f t="shared" si="4"/>
        <v>32</v>
      </c>
      <c r="C311" s="39" t="s">
        <v>1318</v>
      </c>
      <c r="E311" s="38" t="s">
        <v>1260</v>
      </c>
      <c r="F311" s="259" t="s">
        <v>990</v>
      </c>
      <c r="G311" s="38" t="s">
        <v>943</v>
      </c>
      <c r="H311" s="288"/>
      <c r="I311" s="220" t="s">
        <v>225</v>
      </c>
      <c r="J311" s="220" t="s">
        <v>31</v>
      </c>
      <c r="K311" s="39" t="s">
        <v>1319</v>
      </c>
    </row>
    <row r="312" spans="1:13" ht="89.25">
      <c r="A312" s="286">
        <v>46238</v>
      </c>
      <c r="B312" s="38">
        <f t="shared" si="4"/>
        <v>32</v>
      </c>
      <c r="C312" s="39" t="s">
        <v>1320</v>
      </c>
      <c r="E312" s="38" t="s">
        <v>1263</v>
      </c>
      <c r="F312" s="275" t="s">
        <v>990</v>
      </c>
      <c r="G312" s="38" t="s">
        <v>943</v>
      </c>
      <c r="H312" s="288"/>
      <c r="I312" s="220" t="s">
        <v>225</v>
      </c>
      <c r="J312" s="220" t="s">
        <v>31</v>
      </c>
      <c r="K312" s="39" t="s">
        <v>1321</v>
      </c>
    </row>
    <row r="313" spans="1:13" ht="63.75">
      <c r="A313" s="286">
        <v>46238</v>
      </c>
      <c r="B313" s="38">
        <f t="shared" si="4"/>
        <v>32</v>
      </c>
      <c r="C313" s="309" t="s">
        <v>1322</v>
      </c>
      <c r="D313" s="310"/>
      <c r="E313" s="310" t="s">
        <v>1296</v>
      </c>
      <c r="F313" s="311" t="s">
        <v>990</v>
      </c>
      <c r="G313" s="310" t="s">
        <v>943</v>
      </c>
      <c r="H313" s="311"/>
      <c r="I313" s="312" t="s">
        <v>225</v>
      </c>
      <c r="J313" s="312" t="s">
        <v>31</v>
      </c>
      <c r="K313" s="313" t="s">
        <v>1323</v>
      </c>
      <c r="L313" s="310"/>
    </row>
    <row r="314" spans="1:13" ht="14.25">
      <c r="A314" s="286">
        <v>46238</v>
      </c>
      <c r="B314" s="38">
        <f t="shared" si="4"/>
        <v>32</v>
      </c>
      <c r="C314" s="39" t="s">
        <v>1114</v>
      </c>
      <c r="E314" s="38" t="s">
        <v>1284</v>
      </c>
      <c r="F314" s="259" t="s">
        <v>990</v>
      </c>
      <c r="G314" s="38" t="s">
        <v>943</v>
      </c>
      <c r="H314" s="288"/>
      <c r="I314" s="220" t="s">
        <v>225</v>
      </c>
      <c r="J314" s="220" t="s">
        <v>31</v>
      </c>
    </row>
    <row r="315" spans="1:13" ht="14.25">
      <c r="A315" s="286">
        <v>46238</v>
      </c>
      <c r="B315" s="38">
        <f t="shared" si="4"/>
        <v>32</v>
      </c>
      <c r="C315" s="39" t="s">
        <v>1272</v>
      </c>
      <c r="E315" s="38" t="s">
        <v>1278</v>
      </c>
      <c r="F315" s="288" t="s">
        <v>915</v>
      </c>
      <c r="G315" s="38" t="s">
        <v>991</v>
      </c>
      <c r="H315" s="288"/>
      <c r="I315" s="220" t="s">
        <v>225</v>
      </c>
      <c r="J315" s="220"/>
    </row>
    <row r="316" spans="1:13" ht="14.25">
      <c r="A316" s="286">
        <v>46238</v>
      </c>
      <c r="B316" s="38">
        <f t="shared" si="4"/>
        <v>32</v>
      </c>
      <c r="E316" s="38" t="s">
        <v>1269</v>
      </c>
      <c r="F316" s="288" t="s">
        <v>961</v>
      </c>
      <c r="H316" s="288"/>
      <c r="I316" s="220"/>
      <c r="J316" s="220"/>
    </row>
    <row r="317" spans="1:13" s="59" customFormat="1" ht="14.25">
      <c r="A317" s="287"/>
      <c r="B317" s="59">
        <f t="shared" si="4"/>
        <v>0</v>
      </c>
      <c r="C317" s="60"/>
      <c r="F317" s="282"/>
      <c r="H317" s="282"/>
      <c r="I317" s="290"/>
      <c r="J317" s="290"/>
      <c r="K317" s="60"/>
      <c r="M317" s="60"/>
    </row>
    <row r="318" spans="1:13" ht="14.25">
      <c r="A318" s="286">
        <v>46239</v>
      </c>
      <c r="B318" s="38">
        <f t="shared" si="4"/>
        <v>32</v>
      </c>
      <c r="C318" s="39" t="s">
        <v>1114</v>
      </c>
      <c r="E318" s="38" t="s">
        <v>1260</v>
      </c>
      <c r="F318" s="259" t="s">
        <v>990</v>
      </c>
      <c r="G318" s="38" t="s">
        <v>943</v>
      </c>
      <c r="H318" s="288"/>
      <c r="I318" s="220" t="s">
        <v>225</v>
      </c>
      <c r="J318" s="220" t="s">
        <v>34</v>
      </c>
    </row>
    <row r="319" spans="1:13" ht="14.25">
      <c r="A319" s="286">
        <v>46239</v>
      </c>
      <c r="B319" s="38">
        <f t="shared" si="4"/>
        <v>32</v>
      </c>
      <c r="C319" s="39" t="s">
        <v>1324</v>
      </c>
      <c r="E319" s="38" t="s">
        <v>1263</v>
      </c>
      <c r="F319" s="275" t="s">
        <v>961</v>
      </c>
      <c r="G319" s="38" t="s">
        <v>943</v>
      </c>
      <c r="H319" s="288"/>
      <c r="I319" s="220" t="s">
        <v>225</v>
      </c>
      <c r="J319" s="220" t="s">
        <v>34</v>
      </c>
    </row>
    <row r="320" spans="1:13" ht="14.25">
      <c r="A320" s="286">
        <v>46239</v>
      </c>
      <c r="B320" s="38">
        <f t="shared" si="4"/>
        <v>32</v>
      </c>
      <c r="C320" s="39" t="s">
        <v>1324</v>
      </c>
      <c r="E320" s="38" t="s">
        <v>1296</v>
      </c>
      <c r="F320" s="259" t="s">
        <v>990</v>
      </c>
      <c r="G320" s="38" t="s">
        <v>943</v>
      </c>
      <c r="H320" s="288"/>
      <c r="I320" s="220" t="s">
        <v>225</v>
      </c>
      <c r="J320" s="220" t="s">
        <v>34</v>
      </c>
    </row>
    <row r="321" spans="1:13" ht="14.25">
      <c r="A321" s="286">
        <v>46239</v>
      </c>
      <c r="B321" s="38">
        <f t="shared" si="4"/>
        <v>32</v>
      </c>
      <c r="C321" s="39" t="s">
        <v>1325</v>
      </c>
      <c r="E321" s="38" t="s">
        <v>1284</v>
      </c>
      <c r="F321" s="259" t="s">
        <v>990</v>
      </c>
      <c r="G321" s="38" t="s">
        <v>943</v>
      </c>
      <c r="H321" s="288"/>
      <c r="I321" s="220" t="s">
        <v>225</v>
      </c>
      <c r="J321" s="220" t="s">
        <v>34</v>
      </c>
    </row>
    <row r="322" spans="1:13" ht="14.25">
      <c r="A322" s="286">
        <v>46239</v>
      </c>
      <c r="B322" s="38">
        <f t="shared" ref="B322:B385" si="5">WEEKNUM(A322)</f>
        <v>32</v>
      </c>
      <c r="C322" s="39" t="s">
        <v>1272</v>
      </c>
      <c r="E322" s="38" t="s">
        <v>1278</v>
      </c>
      <c r="F322" s="288" t="s">
        <v>915</v>
      </c>
      <c r="G322" s="38" t="s">
        <v>991</v>
      </c>
      <c r="H322" s="288"/>
      <c r="I322" s="220" t="s">
        <v>225</v>
      </c>
      <c r="J322" s="220"/>
    </row>
    <row r="323" spans="1:13" ht="14.25">
      <c r="A323" s="286">
        <v>46239</v>
      </c>
      <c r="B323" s="38">
        <f t="shared" si="5"/>
        <v>32</v>
      </c>
      <c r="C323" s="39" t="s">
        <v>1298</v>
      </c>
      <c r="E323" s="38" t="s">
        <v>1269</v>
      </c>
      <c r="F323" s="288" t="s">
        <v>947</v>
      </c>
      <c r="H323" s="288"/>
      <c r="I323" s="220"/>
      <c r="J323" s="220"/>
    </row>
    <row r="324" spans="1:13" s="59" customFormat="1" ht="14.25">
      <c r="A324" s="287"/>
      <c r="B324" s="59">
        <f t="shared" si="5"/>
        <v>0</v>
      </c>
      <c r="C324" s="60"/>
      <c r="F324" s="282"/>
      <c r="H324" s="282"/>
      <c r="I324" s="290"/>
      <c r="J324" s="290"/>
      <c r="K324" s="60"/>
      <c r="M324" s="60"/>
    </row>
    <row r="325" spans="1:13" ht="25.5">
      <c r="A325" s="286">
        <v>46240</v>
      </c>
      <c r="B325" s="38">
        <f t="shared" si="5"/>
        <v>32</v>
      </c>
      <c r="C325" s="39" t="s">
        <v>1326</v>
      </c>
      <c r="E325" s="38" t="s">
        <v>1260</v>
      </c>
      <c r="F325" s="259" t="s">
        <v>990</v>
      </c>
      <c r="G325" s="38" t="s">
        <v>943</v>
      </c>
      <c r="H325" s="288"/>
      <c r="I325" s="220" t="s">
        <v>225</v>
      </c>
      <c r="J325" s="220" t="s">
        <v>34</v>
      </c>
      <c r="K325" s="47" t="s">
        <v>1327</v>
      </c>
    </row>
    <row r="326" spans="1:13" ht="51">
      <c r="A326" s="286">
        <v>46240</v>
      </c>
      <c r="B326" s="38">
        <f t="shared" si="5"/>
        <v>32</v>
      </c>
      <c r="C326" s="39" t="s">
        <v>1328</v>
      </c>
      <c r="E326" s="38" t="s">
        <v>1263</v>
      </c>
      <c r="F326" s="275" t="s">
        <v>990</v>
      </c>
      <c r="G326" s="38" t="s">
        <v>943</v>
      </c>
      <c r="H326" s="288"/>
      <c r="I326" s="220" t="s">
        <v>225</v>
      </c>
      <c r="J326" s="220" t="s">
        <v>34</v>
      </c>
      <c r="K326" s="47" t="s">
        <v>1329</v>
      </c>
    </row>
    <row r="327" spans="1:13" ht="25.5">
      <c r="A327" s="286">
        <v>46240</v>
      </c>
      <c r="B327" s="38">
        <f t="shared" si="5"/>
        <v>32</v>
      </c>
      <c r="C327" s="39" t="s">
        <v>1330</v>
      </c>
      <c r="E327" s="38" t="s">
        <v>1296</v>
      </c>
      <c r="F327" s="259" t="s">
        <v>990</v>
      </c>
      <c r="G327" s="38" t="s">
        <v>943</v>
      </c>
      <c r="H327" s="288"/>
      <c r="I327" s="220" t="s">
        <v>225</v>
      </c>
      <c r="J327" s="220" t="s">
        <v>34</v>
      </c>
      <c r="K327" s="47" t="s">
        <v>1331</v>
      </c>
    </row>
    <row r="328" spans="1:13" ht="14.25">
      <c r="A328" s="286">
        <v>46240</v>
      </c>
      <c r="B328" s="38">
        <f t="shared" si="5"/>
        <v>32</v>
      </c>
      <c r="C328" s="39" t="s">
        <v>1114</v>
      </c>
      <c r="E328" s="38" t="s">
        <v>1284</v>
      </c>
      <c r="F328" s="259" t="s">
        <v>990</v>
      </c>
      <c r="G328" s="38" t="s">
        <v>943</v>
      </c>
      <c r="H328" s="288"/>
      <c r="I328" s="220" t="s">
        <v>225</v>
      </c>
      <c r="J328" s="220" t="s">
        <v>34</v>
      </c>
    </row>
    <row r="329" spans="1:13" ht="14.25">
      <c r="A329" s="286">
        <v>46240</v>
      </c>
      <c r="B329" s="38">
        <f t="shared" si="5"/>
        <v>32</v>
      </c>
      <c r="C329" s="39" t="s">
        <v>1272</v>
      </c>
      <c r="E329" s="38" t="s">
        <v>1278</v>
      </c>
      <c r="F329" s="288" t="s">
        <v>915</v>
      </c>
      <c r="G329" s="38" t="s">
        <v>991</v>
      </c>
      <c r="H329" s="288"/>
      <c r="I329" s="220" t="s">
        <v>225</v>
      </c>
      <c r="J329" s="220"/>
    </row>
    <row r="330" spans="1:13" ht="14.25">
      <c r="A330" s="286">
        <v>46240</v>
      </c>
      <c r="B330" s="38">
        <f t="shared" si="5"/>
        <v>32</v>
      </c>
      <c r="E330" s="38" t="s">
        <v>1269</v>
      </c>
      <c r="F330" s="288" t="s">
        <v>961</v>
      </c>
      <c r="H330" s="288"/>
      <c r="I330" s="220"/>
      <c r="J330" s="220"/>
    </row>
    <row r="331" spans="1:13" s="59" customFormat="1" ht="14.25">
      <c r="A331" s="287"/>
      <c r="B331" s="59">
        <f t="shared" si="5"/>
        <v>0</v>
      </c>
      <c r="C331" s="60"/>
      <c r="F331" s="282"/>
      <c r="H331" s="282"/>
      <c r="I331" s="290"/>
      <c r="J331" s="290"/>
      <c r="K331" s="60"/>
      <c r="M331" s="60"/>
    </row>
    <row r="332" spans="1:13" ht="14.25">
      <c r="A332" s="286">
        <v>46242</v>
      </c>
      <c r="B332" s="38">
        <f t="shared" si="5"/>
        <v>32</v>
      </c>
      <c r="E332" s="38" t="s">
        <v>1260</v>
      </c>
      <c r="F332" s="259" t="s">
        <v>990</v>
      </c>
      <c r="G332" s="38" t="s">
        <v>943</v>
      </c>
      <c r="H332" s="288"/>
      <c r="I332" s="220" t="s">
        <v>225</v>
      </c>
      <c r="J332" s="220" t="s">
        <v>34</v>
      </c>
    </row>
    <row r="333" spans="1:13" ht="14.25">
      <c r="A333" s="286">
        <v>46242</v>
      </c>
      <c r="B333" s="38">
        <f>WEEKNUM(A332)</f>
        <v>32</v>
      </c>
      <c r="E333" s="38" t="s">
        <v>1263</v>
      </c>
      <c r="F333" s="275" t="s">
        <v>990</v>
      </c>
      <c r="G333" s="38" t="s">
        <v>943</v>
      </c>
      <c r="H333" s="288"/>
      <c r="I333" s="220" t="s">
        <v>225</v>
      </c>
      <c r="J333" s="220" t="s">
        <v>34</v>
      </c>
    </row>
    <row r="334" spans="1:13" ht="14.25">
      <c r="A334" s="286">
        <v>46242</v>
      </c>
      <c r="B334" s="38">
        <f t="shared" ref="B334:B374" si="6">WEEKNUM(A334)</f>
        <v>32</v>
      </c>
      <c r="E334" s="38" t="s">
        <v>1296</v>
      </c>
      <c r="F334" s="311" t="s">
        <v>990</v>
      </c>
      <c r="G334" s="38" t="s">
        <v>943</v>
      </c>
      <c r="H334" s="288"/>
      <c r="I334" s="220" t="s">
        <v>225</v>
      </c>
      <c r="J334" s="220" t="s">
        <v>34</v>
      </c>
    </row>
    <row r="335" spans="1:13" ht="14.25">
      <c r="A335" s="286">
        <v>46242</v>
      </c>
      <c r="B335" s="38">
        <f t="shared" si="6"/>
        <v>32</v>
      </c>
      <c r="E335" s="38" t="s">
        <v>1284</v>
      </c>
      <c r="F335" s="259" t="s">
        <v>990</v>
      </c>
      <c r="G335" s="38" t="s">
        <v>943</v>
      </c>
      <c r="H335" s="288"/>
      <c r="I335" s="220" t="s">
        <v>225</v>
      </c>
      <c r="J335" s="220" t="s">
        <v>34</v>
      </c>
    </row>
    <row r="336" spans="1:13" ht="14.25">
      <c r="A336" s="286">
        <v>46242</v>
      </c>
      <c r="B336" s="38">
        <f t="shared" si="6"/>
        <v>32</v>
      </c>
      <c r="E336" s="38" t="s">
        <v>1278</v>
      </c>
      <c r="F336" s="288" t="s">
        <v>915</v>
      </c>
      <c r="G336" s="38" t="s">
        <v>991</v>
      </c>
      <c r="H336" s="288"/>
      <c r="I336" s="220" t="s">
        <v>225</v>
      </c>
      <c r="J336" s="220"/>
    </row>
    <row r="337" spans="1:13" ht="14.25">
      <c r="A337" s="286">
        <v>46242</v>
      </c>
      <c r="B337" s="38">
        <f t="shared" si="6"/>
        <v>32</v>
      </c>
      <c r="E337" s="38" t="s">
        <v>1269</v>
      </c>
      <c r="F337" s="288" t="s">
        <v>961</v>
      </c>
      <c r="H337" s="288"/>
      <c r="I337" s="220"/>
      <c r="J337" s="220"/>
    </row>
    <row r="338" spans="1:13" s="59" customFormat="1" ht="14.25">
      <c r="A338" s="287">
        <v>46242</v>
      </c>
      <c r="B338" s="59">
        <f t="shared" si="6"/>
        <v>32</v>
      </c>
      <c r="C338" s="60"/>
      <c r="F338" s="282"/>
      <c r="H338" s="282"/>
      <c r="I338" s="290"/>
      <c r="J338" s="290"/>
      <c r="K338" s="60"/>
      <c r="M338" s="60"/>
    </row>
    <row r="339" spans="1:13" ht="14.25">
      <c r="A339" s="286">
        <v>46243</v>
      </c>
      <c r="B339" s="38">
        <f t="shared" si="6"/>
        <v>33</v>
      </c>
      <c r="E339" s="38" t="s">
        <v>1260</v>
      </c>
      <c r="F339" s="259" t="s">
        <v>990</v>
      </c>
      <c r="G339" s="38" t="s">
        <v>943</v>
      </c>
      <c r="H339" s="288"/>
      <c r="I339" s="220" t="s">
        <v>225</v>
      </c>
      <c r="J339" s="220" t="s">
        <v>31</v>
      </c>
    </row>
    <row r="340" spans="1:13" ht="14.25">
      <c r="A340" s="286">
        <v>46243</v>
      </c>
      <c r="B340" s="38">
        <f t="shared" si="6"/>
        <v>33</v>
      </c>
      <c r="E340" s="38" t="s">
        <v>1263</v>
      </c>
      <c r="F340" s="275" t="s">
        <v>990</v>
      </c>
      <c r="G340" s="38" t="s">
        <v>943</v>
      </c>
      <c r="H340" s="288"/>
      <c r="I340" s="220" t="s">
        <v>225</v>
      </c>
      <c r="J340" s="220" t="s">
        <v>31</v>
      </c>
    </row>
    <row r="341" spans="1:13" ht="14.25">
      <c r="A341" s="286">
        <v>46243</v>
      </c>
      <c r="B341" s="38">
        <f t="shared" si="6"/>
        <v>33</v>
      </c>
      <c r="E341" s="38" t="s">
        <v>1296</v>
      </c>
      <c r="F341" s="311" t="s">
        <v>990</v>
      </c>
      <c r="G341" s="38" t="s">
        <v>943</v>
      </c>
      <c r="H341" s="288"/>
      <c r="I341" s="312" t="s">
        <v>225</v>
      </c>
      <c r="J341" s="312" t="s">
        <v>31</v>
      </c>
    </row>
    <row r="342" spans="1:13" ht="14.25">
      <c r="A342" s="286">
        <v>46243</v>
      </c>
      <c r="B342" s="38">
        <f t="shared" si="6"/>
        <v>33</v>
      </c>
      <c r="E342" s="38" t="s">
        <v>1284</v>
      </c>
      <c r="F342" s="259" t="s">
        <v>990</v>
      </c>
      <c r="G342" s="38" t="s">
        <v>943</v>
      </c>
      <c r="H342" s="288"/>
      <c r="I342" s="220" t="s">
        <v>225</v>
      </c>
      <c r="J342" s="220" t="s">
        <v>31</v>
      </c>
    </row>
    <row r="343" spans="1:13" ht="14.25">
      <c r="A343" s="286">
        <v>46243</v>
      </c>
      <c r="B343" s="38">
        <f t="shared" si="6"/>
        <v>33</v>
      </c>
      <c r="E343" s="38" t="s">
        <v>1278</v>
      </c>
      <c r="F343" s="288" t="s">
        <v>915</v>
      </c>
      <c r="G343" s="38" t="s">
        <v>991</v>
      </c>
      <c r="H343" s="288"/>
      <c r="I343" s="220" t="s">
        <v>225</v>
      </c>
      <c r="J343" s="220"/>
    </row>
    <row r="344" spans="1:13" ht="14.25">
      <c r="A344" s="286">
        <v>46243</v>
      </c>
      <c r="B344" s="38">
        <f t="shared" si="6"/>
        <v>33</v>
      </c>
      <c r="E344" s="38" t="s">
        <v>1269</v>
      </c>
      <c r="F344" s="288" t="s">
        <v>961</v>
      </c>
      <c r="H344" s="288"/>
      <c r="I344" s="220"/>
      <c r="J344" s="220"/>
    </row>
    <row r="345" spans="1:13" s="59" customFormat="1" ht="14.25">
      <c r="A345" s="287"/>
      <c r="B345" s="59">
        <f t="shared" si="6"/>
        <v>0</v>
      </c>
      <c r="C345" s="60"/>
      <c r="F345" s="282"/>
      <c r="H345" s="282"/>
      <c r="I345" s="290"/>
      <c r="J345" s="290"/>
      <c r="K345" s="60"/>
      <c r="M345" s="60"/>
    </row>
    <row r="346" spans="1:13" ht="14.25">
      <c r="A346" s="286">
        <v>46244</v>
      </c>
      <c r="B346" s="38">
        <f t="shared" si="6"/>
        <v>33</v>
      </c>
      <c r="E346" s="38" t="s">
        <v>1260</v>
      </c>
      <c r="F346" s="259" t="s">
        <v>990</v>
      </c>
      <c r="G346" s="38" t="s">
        <v>943</v>
      </c>
      <c r="H346" s="288"/>
      <c r="I346" s="220" t="s">
        <v>225</v>
      </c>
      <c r="J346" s="220" t="s">
        <v>34</v>
      </c>
    </row>
    <row r="347" spans="1:13" ht="14.25">
      <c r="A347" s="286">
        <v>46244</v>
      </c>
      <c r="B347" s="38">
        <f t="shared" si="6"/>
        <v>33</v>
      </c>
      <c r="E347" s="38" t="s">
        <v>1263</v>
      </c>
      <c r="F347" s="275" t="s">
        <v>990</v>
      </c>
      <c r="G347" s="38" t="s">
        <v>943</v>
      </c>
      <c r="H347" s="288"/>
      <c r="I347" s="220" t="s">
        <v>225</v>
      </c>
      <c r="J347" s="220" t="s">
        <v>34</v>
      </c>
    </row>
    <row r="348" spans="1:13" ht="14.25">
      <c r="A348" s="286">
        <v>46244</v>
      </c>
      <c r="B348" s="38">
        <f t="shared" si="6"/>
        <v>33</v>
      </c>
      <c r="E348" s="38" t="s">
        <v>1296</v>
      </c>
      <c r="F348" s="311" t="s">
        <v>990</v>
      </c>
      <c r="G348" s="38" t="s">
        <v>943</v>
      </c>
      <c r="H348" s="288"/>
      <c r="I348" s="220" t="s">
        <v>225</v>
      </c>
      <c r="J348" s="220" t="s">
        <v>34</v>
      </c>
    </row>
    <row r="349" spans="1:13" ht="14.25">
      <c r="A349" s="286">
        <v>46244</v>
      </c>
      <c r="B349" s="38">
        <f t="shared" si="6"/>
        <v>33</v>
      </c>
      <c r="E349" s="38" t="s">
        <v>1284</v>
      </c>
      <c r="F349" s="259" t="s">
        <v>990</v>
      </c>
      <c r="G349" s="38" t="s">
        <v>943</v>
      </c>
      <c r="H349" s="288"/>
      <c r="I349" s="220" t="s">
        <v>225</v>
      </c>
      <c r="J349" s="220" t="s">
        <v>34</v>
      </c>
    </row>
    <row r="350" spans="1:13" ht="14.25">
      <c r="A350" s="286">
        <v>46244</v>
      </c>
      <c r="B350" s="38">
        <f t="shared" si="6"/>
        <v>33</v>
      </c>
      <c r="E350" s="38" t="s">
        <v>1278</v>
      </c>
      <c r="F350" s="288" t="s">
        <v>915</v>
      </c>
      <c r="G350" s="38" t="s">
        <v>991</v>
      </c>
      <c r="H350" s="288"/>
      <c r="I350" s="220" t="s">
        <v>225</v>
      </c>
      <c r="J350" s="220"/>
    </row>
    <row r="351" spans="1:13" ht="14.25">
      <c r="A351" s="286">
        <v>46244</v>
      </c>
      <c r="B351" s="38">
        <f t="shared" si="6"/>
        <v>33</v>
      </c>
      <c r="E351" s="38" t="s">
        <v>1269</v>
      </c>
      <c r="F351" s="288" t="s">
        <v>961</v>
      </c>
      <c r="H351" s="288"/>
      <c r="I351" s="220"/>
      <c r="J351" s="220"/>
    </row>
    <row r="352" spans="1:13" s="59" customFormat="1" ht="14.25">
      <c r="A352" s="287"/>
      <c r="B352" s="59">
        <f t="shared" si="6"/>
        <v>0</v>
      </c>
      <c r="C352" s="60"/>
      <c r="F352" s="282"/>
      <c r="H352" s="282"/>
      <c r="I352" s="290"/>
      <c r="J352" s="290"/>
      <c r="K352" s="60"/>
      <c r="M352" s="60"/>
    </row>
    <row r="353" spans="1:13" ht="14.25">
      <c r="A353" s="286">
        <v>46245</v>
      </c>
      <c r="B353" s="38">
        <f t="shared" si="6"/>
        <v>33</v>
      </c>
      <c r="E353" s="38" t="s">
        <v>1260</v>
      </c>
      <c r="F353" s="259" t="s">
        <v>990</v>
      </c>
      <c r="G353" s="38" t="s">
        <v>943</v>
      </c>
      <c r="H353" s="288"/>
      <c r="I353" s="220" t="s">
        <v>225</v>
      </c>
      <c r="J353" s="220" t="s">
        <v>31</v>
      </c>
    </row>
    <row r="354" spans="1:13" ht="14.25">
      <c r="A354" s="286">
        <v>46245</v>
      </c>
      <c r="B354" s="38">
        <f t="shared" si="6"/>
        <v>33</v>
      </c>
      <c r="E354" s="38" t="s">
        <v>1263</v>
      </c>
      <c r="F354" s="275" t="s">
        <v>990</v>
      </c>
      <c r="G354" s="38" t="s">
        <v>943</v>
      </c>
      <c r="H354" s="288"/>
      <c r="I354" s="220" t="s">
        <v>225</v>
      </c>
      <c r="J354" s="220" t="s">
        <v>31</v>
      </c>
    </row>
    <row r="355" spans="1:13" ht="14.25">
      <c r="A355" s="286">
        <v>46245</v>
      </c>
      <c r="B355" s="38">
        <f t="shared" si="6"/>
        <v>33</v>
      </c>
      <c r="E355" s="38" t="s">
        <v>1296</v>
      </c>
      <c r="F355" s="311" t="s">
        <v>990</v>
      </c>
      <c r="G355" s="38" t="s">
        <v>943</v>
      </c>
      <c r="H355" s="288"/>
      <c r="I355" s="312" t="s">
        <v>225</v>
      </c>
      <c r="J355" s="312" t="s">
        <v>31</v>
      </c>
    </row>
    <row r="356" spans="1:13" ht="14.25">
      <c r="A356" s="286">
        <v>46245</v>
      </c>
      <c r="B356" s="38">
        <f t="shared" si="6"/>
        <v>33</v>
      </c>
      <c r="E356" s="38" t="s">
        <v>1284</v>
      </c>
      <c r="F356" s="259" t="s">
        <v>990</v>
      </c>
      <c r="G356" s="38" t="s">
        <v>943</v>
      </c>
      <c r="H356" s="288"/>
      <c r="I356" s="220" t="s">
        <v>225</v>
      </c>
      <c r="J356" s="220" t="s">
        <v>31</v>
      </c>
    </row>
    <row r="357" spans="1:13" ht="14.25">
      <c r="A357" s="286">
        <v>46245</v>
      </c>
      <c r="B357" s="38">
        <f t="shared" si="6"/>
        <v>33</v>
      </c>
      <c r="E357" s="38" t="s">
        <v>1278</v>
      </c>
      <c r="F357" s="288" t="s">
        <v>915</v>
      </c>
      <c r="G357" s="38" t="s">
        <v>991</v>
      </c>
      <c r="H357" s="288"/>
      <c r="I357" s="220" t="s">
        <v>225</v>
      </c>
      <c r="J357" s="220"/>
    </row>
    <row r="358" spans="1:13" ht="14.25">
      <c r="A358" s="286">
        <v>46245</v>
      </c>
      <c r="B358" s="38">
        <f t="shared" si="6"/>
        <v>33</v>
      </c>
      <c r="E358" s="38" t="s">
        <v>1269</v>
      </c>
      <c r="F358" s="288" t="s">
        <v>961</v>
      </c>
      <c r="H358" s="288"/>
      <c r="I358" s="220"/>
      <c r="J358" s="220"/>
    </row>
    <row r="359" spans="1:13" s="59" customFormat="1" ht="14.25">
      <c r="A359" s="287"/>
      <c r="B359" s="59">
        <f t="shared" si="6"/>
        <v>0</v>
      </c>
      <c r="C359" s="60"/>
      <c r="F359" s="282"/>
      <c r="H359" s="282"/>
      <c r="I359" s="290"/>
      <c r="J359" s="290"/>
      <c r="K359" s="60"/>
      <c r="M359" s="60"/>
    </row>
    <row r="360" spans="1:13" ht="14.25">
      <c r="A360" s="286">
        <v>46246</v>
      </c>
      <c r="B360" s="38">
        <f t="shared" si="6"/>
        <v>33</v>
      </c>
      <c r="E360" s="38" t="s">
        <v>1260</v>
      </c>
      <c r="F360" s="259" t="s">
        <v>990</v>
      </c>
      <c r="G360" s="38" t="s">
        <v>943</v>
      </c>
      <c r="H360" s="288"/>
      <c r="I360" s="220" t="s">
        <v>225</v>
      </c>
      <c r="J360" s="220" t="s">
        <v>34</v>
      </c>
    </row>
    <row r="361" spans="1:13" ht="14.25">
      <c r="A361" s="286">
        <v>46246</v>
      </c>
      <c r="B361" s="38">
        <f t="shared" si="6"/>
        <v>33</v>
      </c>
      <c r="E361" s="38" t="s">
        <v>1263</v>
      </c>
      <c r="F361" s="275" t="s">
        <v>990</v>
      </c>
      <c r="G361" s="38" t="s">
        <v>943</v>
      </c>
      <c r="H361" s="288"/>
      <c r="I361" s="220" t="s">
        <v>225</v>
      </c>
      <c r="J361" s="220" t="s">
        <v>34</v>
      </c>
    </row>
    <row r="362" spans="1:13" ht="14.25">
      <c r="A362" s="286">
        <v>46246</v>
      </c>
      <c r="B362" s="38">
        <f t="shared" si="6"/>
        <v>33</v>
      </c>
      <c r="E362" s="38" t="s">
        <v>1296</v>
      </c>
      <c r="F362" s="311" t="s">
        <v>990</v>
      </c>
      <c r="G362" s="38" t="s">
        <v>943</v>
      </c>
      <c r="H362" s="288"/>
      <c r="I362" s="220" t="s">
        <v>225</v>
      </c>
      <c r="J362" s="220" t="s">
        <v>34</v>
      </c>
    </row>
    <row r="363" spans="1:13" ht="14.25">
      <c r="A363" s="286">
        <v>46246</v>
      </c>
      <c r="B363" s="38">
        <f t="shared" si="6"/>
        <v>33</v>
      </c>
      <c r="E363" s="38" t="s">
        <v>1284</v>
      </c>
      <c r="F363" s="259" t="s">
        <v>990</v>
      </c>
      <c r="G363" s="38" t="s">
        <v>943</v>
      </c>
      <c r="H363" s="288"/>
      <c r="I363" s="220" t="s">
        <v>225</v>
      </c>
      <c r="J363" s="220" t="s">
        <v>34</v>
      </c>
    </row>
    <row r="364" spans="1:13" ht="14.25">
      <c r="A364" s="286">
        <v>46246</v>
      </c>
      <c r="B364" s="38">
        <f t="shared" si="6"/>
        <v>33</v>
      </c>
      <c r="E364" s="38" t="s">
        <v>1278</v>
      </c>
      <c r="F364" s="288" t="s">
        <v>915</v>
      </c>
      <c r="G364" s="38" t="s">
        <v>991</v>
      </c>
      <c r="H364" s="288"/>
      <c r="I364" s="220" t="s">
        <v>225</v>
      </c>
      <c r="J364" s="220"/>
    </row>
    <row r="365" spans="1:13" ht="14.25">
      <c r="A365" s="286">
        <v>46246</v>
      </c>
      <c r="B365" s="38">
        <f t="shared" si="6"/>
        <v>33</v>
      </c>
      <c r="E365" s="38" t="s">
        <v>1269</v>
      </c>
      <c r="F365" s="288" t="s">
        <v>961</v>
      </c>
      <c r="H365" s="288"/>
      <c r="I365" s="220"/>
      <c r="J365" s="220"/>
    </row>
    <row r="366" spans="1:13" s="59" customFormat="1" ht="14.25">
      <c r="A366" s="287"/>
      <c r="B366" s="59">
        <f t="shared" si="6"/>
        <v>0</v>
      </c>
      <c r="C366" s="60"/>
      <c r="F366" s="282"/>
      <c r="H366" s="282"/>
      <c r="I366" s="290"/>
      <c r="J366" s="290"/>
      <c r="K366" s="60"/>
      <c r="M366" s="60"/>
    </row>
    <row r="367" spans="1:13" ht="14.25">
      <c r="A367" s="286">
        <v>46247</v>
      </c>
      <c r="B367" s="38">
        <f t="shared" si="6"/>
        <v>33</v>
      </c>
      <c r="E367" s="38" t="s">
        <v>1260</v>
      </c>
      <c r="F367" s="259" t="s">
        <v>990</v>
      </c>
      <c r="G367" s="38" t="s">
        <v>943</v>
      </c>
      <c r="H367" s="288"/>
      <c r="I367" s="220" t="s">
        <v>225</v>
      </c>
      <c r="J367" s="220" t="s">
        <v>31</v>
      </c>
    </row>
    <row r="368" spans="1:13" ht="14.25">
      <c r="A368" s="286">
        <v>46247</v>
      </c>
      <c r="B368" s="38">
        <f t="shared" si="6"/>
        <v>33</v>
      </c>
      <c r="E368" s="38" t="s">
        <v>1263</v>
      </c>
      <c r="F368" s="275" t="s">
        <v>990</v>
      </c>
      <c r="G368" s="38" t="s">
        <v>943</v>
      </c>
      <c r="H368" s="288"/>
      <c r="I368" s="220" t="s">
        <v>225</v>
      </c>
      <c r="J368" s="220" t="s">
        <v>31</v>
      </c>
    </row>
    <row r="369" spans="1:13" ht="14.25">
      <c r="A369" s="286">
        <v>46247</v>
      </c>
      <c r="B369" s="38">
        <f t="shared" si="6"/>
        <v>33</v>
      </c>
      <c r="E369" s="38" t="s">
        <v>1296</v>
      </c>
      <c r="F369" s="311" t="s">
        <v>990</v>
      </c>
      <c r="G369" s="38" t="s">
        <v>943</v>
      </c>
      <c r="H369" s="288"/>
      <c r="I369" s="312" t="s">
        <v>225</v>
      </c>
      <c r="J369" s="312" t="s">
        <v>31</v>
      </c>
    </row>
    <row r="370" spans="1:13" ht="14.25">
      <c r="A370" s="286">
        <v>46247</v>
      </c>
      <c r="B370" s="38">
        <f t="shared" si="6"/>
        <v>33</v>
      </c>
      <c r="E370" s="38" t="s">
        <v>1284</v>
      </c>
      <c r="F370" s="259" t="s">
        <v>990</v>
      </c>
      <c r="G370" s="38" t="s">
        <v>943</v>
      </c>
      <c r="H370" s="288"/>
      <c r="I370" s="220" t="s">
        <v>225</v>
      </c>
      <c r="J370" s="220" t="s">
        <v>31</v>
      </c>
    </row>
    <row r="371" spans="1:13" ht="14.25">
      <c r="A371" s="286">
        <v>46247</v>
      </c>
      <c r="B371" s="38">
        <f t="shared" si="6"/>
        <v>33</v>
      </c>
      <c r="E371" s="38" t="s">
        <v>1278</v>
      </c>
      <c r="F371" s="288" t="s">
        <v>915</v>
      </c>
      <c r="G371" s="38" t="s">
        <v>991</v>
      </c>
      <c r="H371" s="288"/>
      <c r="I371" s="220" t="s">
        <v>225</v>
      </c>
      <c r="J371" s="220"/>
    </row>
    <row r="372" spans="1:13" ht="14.25">
      <c r="A372" s="286">
        <v>46247</v>
      </c>
      <c r="B372" s="38">
        <f t="shared" si="6"/>
        <v>33</v>
      </c>
      <c r="E372" s="38" t="s">
        <v>1269</v>
      </c>
      <c r="F372" s="288" t="s">
        <v>961</v>
      </c>
      <c r="H372" s="288"/>
      <c r="I372" s="220"/>
      <c r="J372" s="220"/>
    </row>
    <row r="373" spans="1:13" s="59" customFormat="1" ht="14.25">
      <c r="A373" s="287"/>
      <c r="B373" s="59">
        <f t="shared" si="6"/>
        <v>0</v>
      </c>
      <c r="C373" s="60"/>
      <c r="F373" s="282"/>
      <c r="H373" s="282"/>
      <c r="I373" s="290"/>
      <c r="J373" s="290"/>
      <c r="K373" s="60"/>
      <c r="M373" s="60"/>
    </row>
    <row r="374" spans="1:13" ht="25.5">
      <c r="A374" s="286">
        <v>46249</v>
      </c>
      <c r="B374" s="38">
        <f t="shared" si="6"/>
        <v>33</v>
      </c>
      <c r="C374" s="39" t="s">
        <v>1326</v>
      </c>
      <c r="E374" s="38" t="s">
        <v>1260</v>
      </c>
      <c r="F374" s="259" t="s">
        <v>990</v>
      </c>
      <c r="G374" s="38" t="s">
        <v>943</v>
      </c>
      <c r="H374" s="288"/>
      <c r="I374" s="220" t="s">
        <v>225</v>
      </c>
      <c r="J374" s="220" t="s">
        <v>34</v>
      </c>
      <c r="K374" s="47" t="s">
        <v>1327</v>
      </c>
    </row>
    <row r="375" spans="1:13" ht="58.5" customHeight="1">
      <c r="A375" s="286">
        <v>46249</v>
      </c>
      <c r="B375" s="38">
        <f>WEEKNUM(A374)</f>
        <v>33</v>
      </c>
      <c r="C375" s="39" t="s">
        <v>1328</v>
      </c>
      <c r="E375" s="38" t="s">
        <v>1263</v>
      </c>
      <c r="F375" s="275" t="s">
        <v>990</v>
      </c>
      <c r="G375" s="38" t="s">
        <v>943</v>
      </c>
      <c r="H375" s="288"/>
      <c r="I375" s="220" t="s">
        <v>225</v>
      </c>
      <c r="J375" s="220" t="s">
        <v>34</v>
      </c>
      <c r="K375" s="47" t="s">
        <v>1329</v>
      </c>
    </row>
    <row r="376" spans="1:13" ht="25.5">
      <c r="A376" s="286">
        <v>46249</v>
      </c>
      <c r="B376" s="38">
        <f t="shared" ref="B376:B416" si="7">WEEKNUM(A376)</f>
        <v>33</v>
      </c>
      <c r="C376" s="39" t="s">
        <v>1330</v>
      </c>
      <c r="E376" s="38" t="s">
        <v>1296</v>
      </c>
      <c r="F376" s="259" t="s">
        <v>990</v>
      </c>
      <c r="G376" s="38" t="s">
        <v>943</v>
      </c>
      <c r="H376" s="288"/>
      <c r="I376" s="220" t="s">
        <v>225</v>
      </c>
      <c r="J376" s="220" t="s">
        <v>34</v>
      </c>
      <c r="K376" s="47" t="s">
        <v>1331</v>
      </c>
    </row>
    <row r="377" spans="1:13" ht="14.25">
      <c r="A377" s="286">
        <v>46249</v>
      </c>
      <c r="B377" s="38">
        <f t="shared" si="7"/>
        <v>33</v>
      </c>
      <c r="C377" s="39" t="s">
        <v>1114</v>
      </c>
      <c r="E377" s="38" t="s">
        <v>1284</v>
      </c>
      <c r="F377" s="259" t="s">
        <v>990</v>
      </c>
      <c r="G377" s="38" t="s">
        <v>943</v>
      </c>
      <c r="H377" s="288"/>
      <c r="I377" s="220" t="s">
        <v>225</v>
      </c>
      <c r="J377" s="220" t="s">
        <v>34</v>
      </c>
    </row>
    <row r="378" spans="1:13" ht="14.25">
      <c r="A378" s="286">
        <v>46249</v>
      </c>
      <c r="B378" s="38">
        <f t="shared" si="7"/>
        <v>33</v>
      </c>
      <c r="C378" s="39" t="s">
        <v>1272</v>
      </c>
      <c r="E378" s="38" t="s">
        <v>1278</v>
      </c>
      <c r="F378" s="288" t="s">
        <v>915</v>
      </c>
      <c r="G378" s="38" t="s">
        <v>991</v>
      </c>
      <c r="H378" s="288"/>
      <c r="I378" s="220" t="s">
        <v>225</v>
      </c>
      <c r="J378" s="220"/>
    </row>
    <row r="379" spans="1:13" ht="14.25">
      <c r="A379" s="286">
        <v>46249</v>
      </c>
      <c r="B379" s="38">
        <f t="shared" si="7"/>
        <v>33</v>
      </c>
      <c r="E379" s="38" t="s">
        <v>1269</v>
      </c>
      <c r="F379" s="288" t="s">
        <v>961</v>
      </c>
      <c r="H379" s="288"/>
      <c r="I379" s="220"/>
      <c r="J379" s="220"/>
    </row>
    <row r="380" spans="1:13" s="59" customFormat="1" ht="14.25">
      <c r="A380" s="287">
        <v>46242</v>
      </c>
      <c r="B380" s="59">
        <f t="shared" si="7"/>
        <v>32</v>
      </c>
      <c r="C380" s="60"/>
      <c r="F380" s="282"/>
      <c r="H380" s="282"/>
      <c r="I380" s="290"/>
      <c r="J380" s="290"/>
      <c r="K380" s="60"/>
      <c r="M380" s="60"/>
    </row>
    <row r="381" spans="1:13" ht="14.25">
      <c r="A381" s="286">
        <v>46250</v>
      </c>
      <c r="B381" s="38">
        <f t="shared" si="7"/>
        <v>34</v>
      </c>
      <c r="C381" s="39" t="s">
        <v>707</v>
      </c>
      <c r="E381" s="38" t="s">
        <v>1260</v>
      </c>
      <c r="F381" s="259" t="s">
        <v>990</v>
      </c>
      <c r="G381" s="38" t="s">
        <v>943</v>
      </c>
      <c r="H381" s="288"/>
      <c r="I381" s="220" t="s">
        <v>225</v>
      </c>
      <c r="J381" s="220" t="s">
        <v>31</v>
      </c>
      <c r="K381" s="47" t="s">
        <v>1332</v>
      </c>
    </row>
    <row r="382" spans="1:13" ht="14.25">
      <c r="A382" s="286">
        <v>46250</v>
      </c>
      <c r="B382" s="38">
        <f t="shared" si="7"/>
        <v>34</v>
      </c>
      <c r="C382" s="39" t="s">
        <v>1333</v>
      </c>
      <c r="E382" s="38" t="s">
        <v>1263</v>
      </c>
      <c r="F382" s="275" t="s">
        <v>990</v>
      </c>
      <c r="G382" s="38" t="s">
        <v>943</v>
      </c>
      <c r="H382" s="288"/>
      <c r="I382" s="220" t="s">
        <v>225</v>
      </c>
      <c r="J382" s="220" t="s">
        <v>31</v>
      </c>
      <c r="K382" s="47" t="s">
        <v>1334</v>
      </c>
    </row>
    <row r="383" spans="1:13" ht="14.25">
      <c r="A383" s="286">
        <v>46250</v>
      </c>
      <c r="B383" s="38">
        <f t="shared" si="7"/>
        <v>34</v>
      </c>
      <c r="C383" s="39" t="s">
        <v>563</v>
      </c>
      <c r="E383" s="38" t="s">
        <v>1296</v>
      </c>
      <c r="F383" s="311" t="s">
        <v>990</v>
      </c>
      <c r="G383" s="38" t="s">
        <v>943</v>
      </c>
      <c r="H383" s="288"/>
      <c r="I383" s="312" t="s">
        <v>225</v>
      </c>
      <c r="J383" s="312" t="s">
        <v>31</v>
      </c>
      <c r="K383" s="47" t="s">
        <v>1335</v>
      </c>
    </row>
    <row r="384" spans="1:13" ht="14.25">
      <c r="A384" s="286">
        <v>46250</v>
      </c>
      <c r="B384" s="38">
        <f t="shared" si="7"/>
        <v>34</v>
      </c>
      <c r="C384" s="39" t="s">
        <v>586</v>
      </c>
      <c r="E384" s="38" t="s">
        <v>1284</v>
      </c>
      <c r="F384" s="259" t="s">
        <v>990</v>
      </c>
      <c r="G384" s="38" t="s">
        <v>943</v>
      </c>
      <c r="H384" s="288"/>
      <c r="I384" s="220" t="s">
        <v>225</v>
      </c>
      <c r="J384" s="220" t="s">
        <v>31</v>
      </c>
      <c r="K384" s="47" t="s">
        <v>1336</v>
      </c>
    </row>
    <row r="385" spans="1:13" ht="14.25">
      <c r="A385" s="286">
        <v>46250</v>
      </c>
      <c r="B385" s="38">
        <f t="shared" si="7"/>
        <v>34</v>
      </c>
      <c r="C385" s="39" t="s">
        <v>1114</v>
      </c>
      <c r="E385" s="38" t="s">
        <v>1278</v>
      </c>
      <c r="F385" s="288" t="s">
        <v>915</v>
      </c>
      <c r="G385" s="38" t="s">
        <v>991</v>
      </c>
      <c r="H385" s="288"/>
      <c r="I385" s="220" t="s">
        <v>225</v>
      </c>
      <c r="J385" s="220" t="s">
        <v>31</v>
      </c>
    </row>
    <row r="386" spans="1:13" ht="14.25">
      <c r="A386" s="286">
        <v>46250</v>
      </c>
      <c r="B386" s="38">
        <f t="shared" si="7"/>
        <v>34</v>
      </c>
      <c r="C386" s="39" t="s">
        <v>197</v>
      </c>
      <c r="E386" s="38" t="s">
        <v>1269</v>
      </c>
      <c r="F386" s="288" t="s">
        <v>961</v>
      </c>
      <c r="H386" s="288"/>
      <c r="I386" s="220"/>
      <c r="J386" s="220"/>
    </row>
    <row r="387" spans="1:13" s="59" customFormat="1" ht="14.25">
      <c r="A387" s="287"/>
      <c r="B387" s="59">
        <f t="shared" si="7"/>
        <v>0</v>
      </c>
      <c r="C387" s="60"/>
      <c r="F387" s="282"/>
      <c r="H387" s="282"/>
      <c r="I387" s="290"/>
      <c r="J387" s="290"/>
      <c r="K387" s="60"/>
      <c r="M387" s="60"/>
    </row>
    <row r="388" spans="1:13" ht="14.25">
      <c r="A388" s="286">
        <v>46251</v>
      </c>
      <c r="B388" s="38">
        <f t="shared" si="7"/>
        <v>34</v>
      </c>
      <c r="C388" s="39" t="s">
        <v>1337</v>
      </c>
      <c r="E388" s="38" t="s">
        <v>1260</v>
      </c>
      <c r="F388" s="259" t="s">
        <v>990</v>
      </c>
      <c r="G388" s="38" t="s">
        <v>943</v>
      </c>
      <c r="H388" s="288"/>
      <c r="I388" s="220" t="s">
        <v>225</v>
      </c>
      <c r="J388" s="220" t="s">
        <v>34</v>
      </c>
    </row>
    <row r="389" spans="1:13" ht="14.25">
      <c r="A389" s="286">
        <v>46251</v>
      </c>
      <c r="B389" s="38">
        <f t="shared" si="7"/>
        <v>34</v>
      </c>
      <c r="C389" s="39" t="s">
        <v>1337</v>
      </c>
      <c r="E389" s="38" t="s">
        <v>1263</v>
      </c>
      <c r="F389" s="275" t="s">
        <v>990</v>
      </c>
      <c r="G389" s="38" t="s">
        <v>943</v>
      </c>
      <c r="H389" s="288"/>
      <c r="I389" s="220" t="s">
        <v>225</v>
      </c>
      <c r="J389" s="220" t="s">
        <v>34</v>
      </c>
    </row>
    <row r="390" spans="1:13" ht="14.25">
      <c r="A390" s="286">
        <v>46251</v>
      </c>
      <c r="B390" s="38">
        <f t="shared" si="7"/>
        <v>34</v>
      </c>
      <c r="C390" s="39" t="s">
        <v>1337</v>
      </c>
      <c r="E390" s="38" t="s">
        <v>1296</v>
      </c>
      <c r="F390" s="311" t="s">
        <v>990</v>
      </c>
      <c r="G390" s="38" t="s">
        <v>943</v>
      </c>
      <c r="H390" s="288"/>
      <c r="I390" s="220" t="s">
        <v>225</v>
      </c>
      <c r="J390" s="220" t="s">
        <v>34</v>
      </c>
    </row>
    <row r="391" spans="1:13" ht="14.25">
      <c r="A391" s="286">
        <v>46251</v>
      </c>
      <c r="B391" s="38">
        <f t="shared" si="7"/>
        <v>34</v>
      </c>
      <c r="C391" s="39" t="s">
        <v>1337</v>
      </c>
      <c r="E391" s="38" t="s">
        <v>1284</v>
      </c>
      <c r="F391" s="259" t="s">
        <v>990</v>
      </c>
      <c r="G391" s="38" t="s">
        <v>943</v>
      </c>
      <c r="H391" s="288"/>
      <c r="I391" s="220" t="s">
        <v>225</v>
      </c>
      <c r="J391" s="220" t="s">
        <v>34</v>
      </c>
    </row>
    <row r="392" spans="1:13" ht="14.25">
      <c r="A392" s="286">
        <v>46251</v>
      </c>
      <c r="B392" s="38">
        <f t="shared" si="7"/>
        <v>34</v>
      </c>
      <c r="C392" s="39" t="s">
        <v>1262</v>
      </c>
      <c r="E392" s="38" t="s">
        <v>1278</v>
      </c>
      <c r="F392" s="288" t="s">
        <v>915</v>
      </c>
      <c r="G392" s="38" t="s">
        <v>991</v>
      </c>
      <c r="H392" s="288"/>
      <c r="I392" s="220" t="s">
        <v>225</v>
      </c>
      <c r="J392" s="220"/>
    </row>
    <row r="393" spans="1:13" ht="14.25">
      <c r="A393" s="286">
        <v>46251</v>
      </c>
      <c r="B393" s="38">
        <f t="shared" si="7"/>
        <v>34</v>
      </c>
      <c r="C393" s="39" t="s">
        <v>197</v>
      </c>
      <c r="E393" s="38" t="s">
        <v>1269</v>
      </c>
      <c r="F393" s="288" t="s">
        <v>961</v>
      </c>
      <c r="H393" s="288"/>
      <c r="I393" s="220"/>
      <c r="J393" s="220"/>
    </row>
    <row r="394" spans="1:13" s="59" customFormat="1" ht="14.25">
      <c r="A394" s="287"/>
      <c r="B394" s="59">
        <f t="shared" si="7"/>
        <v>0</v>
      </c>
      <c r="C394" s="60"/>
      <c r="F394" s="282"/>
      <c r="H394" s="282"/>
      <c r="I394" s="290"/>
      <c r="J394" s="290"/>
      <c r="K394" s="60"/>
      <c r="M394" s="60"/>
    </row>
    <row r="395" spans="1:13" ht="14.25">
      <c r="A395" s="286">
        <v>46252</v>
      </c>
      <c r="B395" s="38">
        <f t="shared" si="7"/>
        <v>34</v>
      </c>
      <c r="C395" s="39" t="s">
        <v>1338</v>
      </c>
      <c r="E395" s="38" t="s">
        <v>1260</v>
      </c>
      <c r="F395" s="259" t="s">
        <v>990</v>
      </c>
      <c r="G395" s="38" t="s">
        <v>943</v>
      </c>
      <c r="H395" s="288"/>
      <c r="I395" s="220" t="s">
        <v>225</v>
      </c>
      <c r="J395" s="220" t="s">
        <v>31</v>
      </c>
      <c r="K395" s="47" t="s">
        <v>1339</v>
      </c>
    </row>
    <row r="396" spans="1:13" ht="14.25">
      <c r="A396" s="286">
        <v>46252</v>
      </c>
      <c r="B396" s="38">
        <f t="shared" si="7"/>
        <v>34</v>
      </c>
      <c r="C396" s="39" t="s">
        <v>1340</v>
      </c>
      <c r="E396" s="38" t="s">
        <v>1263</v>
      </c>
      <c r="F396" s="275" t="s">
        <v>990</v>
      </c>
      <c r="G396" s="38" t="s">
        <v>943</v>
      </c>
      <c r="H396" s="288"/>
      <c r="I396" s="220" t="s">
        <v>225</v>
      </c>
      <c r="J396" s="220" t="s">
        <v>31</v>
      </c>
      <c r="K396" s="47" t="s">
        <v>1341</v>
      </c>
    </row>
    <row r="397" spans="1:13" ht="14.25">
      <c r="A397" s="286">
        <v>46252</v>
      </c>
      <c r="B397" s="38">
        <f t="shared" si="7"/>
        <v>34</v>
      </c>
      <c r="C397" s="39" t="s">
        <v>1342</v>
      </c>
      <c r="E397" s="38" t="s">
        <v>1296</v>
      </c>
      <c r="F397" s="311" t="s">
        <v>990</v>
      </c>
      <c r="G397" s="38" t="s">
        <v>943</v>
      </c>
      <c r="H397" s="288"/>
      <c r="I397" s="312" t="s">
        <v>225</v>
      </c>
      <c r="J397" s="312" t="s">
        <v>31</v>
      </c>
      <c r="K397" s="47" t="s">
        <v>1343</v>
      </c>
    </row>
    <row r="398" spans="1:13" ht="14.25">
      <c r="A398" s="286">
        <v>46252</v>
      </c>
      <c r="B398" s="38">
        <f t="shared" si="7"/>
        <v>34</v>
      </c>
      <c r="C398" s="39" t="s">
        <v>1114</v>
      </c>
      <c r="E398" s="38" t="s">
        <v>1284</v>
      </c>
      <c r="F398" s="259" t="s">
        <v>990</v>
      </c>
      <c r="G398" s="38" t="s">
        <v>943</v>
      </c>
      <c r="H398" s="288"/>
      <c r="I398" s="220" t="s">
        <v>225</v>
      </c>
      <c r="J398" s="220" t="s">
        <v>31</v>
      </c>
    </row>
    <row r="399" spans="1:13" ht="14.25">
      <c r="A399" s="286">
        <v>46252</v>
      </c>
      <c r="B399" s="38">
        <f t="shared" si="7"/>
        <v>34</v>
      </c>
      <c r="C399" s="39" t="s">
        <v>1262</v>
      </c>
      <c r="E399" s="38" t="s">
        <v>1278</v>
      </c>
      <c r="F399" s="288" t="s">
        <v>915</v>
      </c>
      <c r="G399" s="38" t="s">
        <v>991</v>
      </c>
      <c r="H399" s="288"/>
      <c r="I399" s="220" t="s">
        <v>225</v>
      </c>
      <c r="J399" s="220"/>
    </row>
    <row r="400" spans="1:13" ht="14.25">
      <c r="A400" s="286">
        <v>46252</v>
      </c>
      <c r="B400" s="38">
        <f t="shared" si="7"/>
        <v>34</v>
      </c>
      <c r="C400" s="39" t="s">
        <v>916</v>
      </c>
      <c r="E400" s="38" t="s">
        <v>1269</v>
      </c>
      <c r="F400" s="288" t="s">
        <v>961</v>
      </c>
      <c r="H400" s="288"/>
      <c r="I400" s="220"/>
      <c r="J400" s="220"/>
    </row>
    <row r="401" spans="1:13" s="59" customFormat="1" ht="14.25">
      <c r="A401" s="287"/>
      <c r="B401" s="59">
        <f t="shared" si="7"/>
        <v>0</v>
      </c>
      <c r="C401" s="60"/>
      <c r="F401" s="282"/>
      <c r="H401" s="282"/>
      <c r="I401" s="290"/>
      <c r="J401" s="290"/>
      <c r="K401" s="60"/>
      <c r="M401" s="60"/>
    </row>
    <row r="402" spans="1:13" ht="14.25">
      <c r="A402" s="286">
        <v>46253</v>
      </c>
      <c r="B402" s="38">
        <f t="shared" si="7"/>
        <v>34</v>
      </c>
      <c r="C402" s="39" t="s">
        <v>1344</v>
      </c>
      <c r="E402" s="38" t="s">
        <v>1260</v>
      </c>
      <c r="F402" s="259" t="s">
        <v>990</v>
      </c>
      <c r="G402" s="38" t="s">
        <v>943</v>
      </c>
      <c r="H402" s="288"/>
      <c r="I402" s="220" t="s">
        <v>225</v>
      </c>
      <c r="J402" s="220" t="s">
        <v>34</v>
      </c>
    </row>
    <row r="403" spans="1:13" ht="14.25">
      <c r="A403" s="286">
        <v>46253</v>
      </c>
      <c r="B403" s="38">
        <f t="shared" si="7"/>
        <v>34</v>
      </c>
      <c r="C403" s="39" t="s">
        <v>1344</v>
      </c>
      <c r="E403" s="38" t="s">
        <v>1263</v>
      </c>
      <c r="F403" s="275" t="s">
        <v>990</v>
      </c>
      <c r="G403" s="38" t="s">
        <v>943</v>
      </c>
      <c r="H403" s="288"/>
      <c r="I403" s="220" t="s">
        <v>225</v>
      </c>
      <c r="J403" s="220" t="s">
        <v>34</v>
      </c>
    </row>
    <row r="404" spans="1:13" ht="14.25">
      <c r="A404" s="286">
        <v>46253</v>
      </c>
      <c r="B404" s="38">
        <f t="shared" si="7"/>
        <v>34</v>
      </c>
      <c r="C404" s="39" t="s">
        <v>1344</v>
      </c>
      <c r="E404" s="38" t="s">
        <v>1296</v>
      </c>
      <c r="F404" s="311" t="s">
        <v>990</v>
      </c>
      <c r="G404" s="38" t="s">
        <v>943</v>
      </c>
      <c r="H404" s="288"/>
      <c r="I404" s="220" t="s">
        <v>225</v>
      </c>
      <c r="J404" s="220" t="s">
        <v>34</v>
      </c>
    </row>
    <row r="405" spans="1:13" ht="14.25">
      <c r="A405" s="286">
        <v>46253</v>
      </c>
      <c r="B405" s="38">
        <f t="shared" si="7"/>
        <v>34</v>
      </c>
      <c r="C405" s="39" t="s">
        <v>1344</v>
      </c>
      <c r="E405" s="38" t="s">
        <v>1284</v>
      </c>
      <c r="F405" s="259" t="s">
        <v>990</v>
      </c>
      <c r="G405" s="38" t="s">
        <v>943</v>
      </c>
      <c r="H405" s="288"/>
      <c r="I405" s="220" t="s">
        <v>225</v>
      </c>
      <c r="J405" s="220" t="s">
        <v>34</v>
      </c>
    </row>
    <row r="406" spans="1:13" ht="14.25">
      <c r="A406" s="286">
        <v>46253</v>
      </c>
      <c r="B406" s="38">
        <f t="shared" si="7"/>
        <v>34</v>
      </c>
      <c r="C406" s="39" t="s">
        <v>1114</v>
      </c>
      <c r="E406" s="38" t="s">
        <v>1278</v>
      </c>
      <c r="F406" s="288" t="s">
        <v>915</v>
      </c>
      <c r="G406" s="38" t="s">
        <v>991</v>
      </c>
      <c r="H406" s="288"/>
      <c r="I406" s="220" t="s">
        <v>225</v>
      </c>
      <c r="J406" s="220"/>
    </row>
    <row r="407" spans="1:13" ht="14.25">
      <c r="A407" s="286">
        <v>46253</v>
      </c>
      <c r="B407" s="38">
        <f t="shared" si="7"/>
        <v>34</v>
      </c>
      <c r="C407" s="39" t="s">
        <v>1262</v>
      </c>
      <c r="E407" s="38" t="s">
        <v>1269</v>
      </c>
      <c r="F407" s="288" t="s">
        <v>961</v>
      </c>
      <c r="H407" s="288"/>
      <c r="I407" s="220"/>
      <c r="J407" s="220"/>
    </row>
    <row r="408" spans="1:13" s="59" customFormat="1" ht="14.25">
      <c r="A408" s="287"/>
      <c r="B408" s="59">
        <f t="shared" si="7"/>
        <v>0</v>
      </c>
      <c r="C408" s="60"/>
      <c r="F408" s="282"/>
      <c r="H408" s="282"/>
      <c r="I408" s="290"/>
      <c r="J408" s="290"/>
      <c r="K408" s="60"/>
      <c r="M408" s="60"/>
    </row>
    <row r="409" spans="1:13" ht="14.25">
      <c r="A409" s="284">
        <v>46254</v>
      </c>
      <c r="B409" s="38">
        <f t="shared" si="7"/>
        <v>34</v>
      </c>
      <c r="C409" s="39" t="s">
        <v>1337</v>
      </c>
      <c r="E409" s="38" t="s">
        <v>1260</v>
      </c>
      <c r="F409" s="259" t="s">
        <v>990</v>
      </c>
      <c r="G409" s="38" t="s">
        <v>943</v>
      </c>
      <c r="H409" s="288"/>
      <c r="I409" s="220" t="s">
        <v>225</v>
      </c>
      <c r="J409" s="220" t="s">
        <v>31</v>
      </c>
      <c r="K409" s="47"/>
    </row>
    <row r="410" spans="1:13" ht="14.25">
      <c r="A410" s="284">
        <v>46254</v>
      </c>
      <c r="B410" s="38">
        <f t="shared" si="7"/>
        <v>34</v>
      </c>
      <c r="C410" s="39" t="s">
        <v>1337</v>
      </c>
      <c r="E410" s="38" t="s">
        <v>1263</v>
      </c>
      <c r="F410" s="275" t="s">
        <v>990</v>
      </c>
      <c r="G410" s="38" t="s">
        <v>943</v>
      </c>
      <c r="H410" s="288"/>
      <c r="I410" s="220" t="s">
        <v>225</v>
      </c>
      <c r="J410" s="220" t="s">
        <v>31</v>
      </c>
      <c r="K410" s="47"/>
    </row>
    <row r="411" spans="1:13" ht="14.25">
      <c r="A411" s="284">
        <v>46254</v>
      </c>
      <c r="B411" s="38">
        <f t="shared" si="7"/>
        <v>34</v>
      </c>
      <c r="C411" s="39" t="s">
        <v>1337</v>
      </c>
      <c r="E411" s="38" t="s">
        <v>1296</v>
      </c>
      <c r="F411" s="311" t="s">
        <v>990</v>
      </c>
      <c r="G411" s="38" t="s">
        <v>943</v>
      </c>
      <c r="H411" s="288"/>
      <c r="I411" s="312" t="s">
        <v>225</v>
      </c>
      <c r="J411" s="312" t="s">
        <v>31</v>
      </c>
    </row>
    <row r="412" spans="1:13" ht="14.25">
      <c r="A412" s="284">
        <v>46254</v>
      </c>
      <c r="B412" s="38">
        <f t="shared" si="7"/>
        <v>34</v>
      </c>
      <c r="C412" s="39" t="s">
        <v>1337</v>
      </c>
      <c r="E412" s="38" t="s">
        <v>1284</v>
      </c>
      <c r="F412" s="259" t="s">
        <v>990</v>
      </c>
      <c r="G412" s="38" t="s">
        <v>943</v>
      </c>
      <c r="H412" s="288"/>
      <c r="I412" s="220" t="s">
        <v>225</v>
      </c>
      <c r="J412" s="220" t="s">
        <v>31</v>
      </c>
    </row>
    <row r="413" spans="1:13" ht="14.25">
      <c r="A413" s="284">
        <v>46254</v>
      </c>
      <c r="B413" s="38">
        <f t="shared" si="7"/>
        <v>34</v>
      </c>
      <c r="C413" s="39" t="s">
        <v>1262</v>
      </c>
      <c r="E413" s="38" t="s">
        <v>1278</v>
      </c>
      <c r="F413" s="288" t="s">
        <v>915</v>
      </c>
      <c r="G413" s="38" t="s">
        <v>991</v>
      </c>
      <c r="H413" s="288"/>
      <c r="I413" s="220" t="s">
        <v>225</v>
      </c>
      <c r="J413" s="220"/>
    </row>
    <row r="414" spans="1:13" ht="14.25">
      <c r="A414" s="284">
        <v>46254</v>
      </c>
      <c r="B414" s="38">
        <f t="shared" si="7"/>
        <v>34</v>
      </c>
      <c r="C414" s="39" t="s">
        <v>197</v>
      </c>
      <c r="E414" s="38" t="s">
        <v>1269</v>
      </c>
      <c r="F414" s="288" t="s">
        <v>961</v>
      </c>
      <c r="H414" s="288"/>
      <c r="I414" s="220"/>
      <c r="J414" s="220"/>
    </row>
    <row r="415" spans="1:13" ht="14.25">
      <c r="A415" s="287"/>
      <c r="B415" s="59">
        <f t="shared" si="7"/>
        <v>0</v>
      </c>
      <c r="C415" s="60"/>
      <c r="D415" s="59"/>
      <c r="E415" s="59"/>
      <c r="F415" s="282"/>
      <c r="G415" s="59"/>
      <c r="H415" s="282"/>
      <c r="I415" s="290"/>
      <c r="J415" s="290"/>
      <c r="K415" s="60"/>
      <c r="L415" s="59"/>
      <c r="M415" s="60"/>
    </row>
    <row r="416" spans="1:13" ht="25.5">
      <c r="A416" s="284">
        <v>46256</v>
      </c>
      <c r="B416" s="38">
        <f t="shared" si="7"/>
        <v>34</v>
      </c>
      <c r="C416" s="39" t="s">
        <v>1345</v>
      </c>
      <c r="E416" s="38" t="s">
        <v>1260</v>
      </c>
      <c r="F416" s="259" t="s">
        <v>990</v>
      </c>
      <c r="G416" s="38" t="s">
        <v>943</v>
      </c>
      <c r="H416" s="288"/>
      <c r="I416" s="220" t="s">
        <v>225</v>
      </c>
      <c r="J416" s="220" t="s">
        <v>31</v>
      </c>
      <c r="K416" s="39" t="s">
        <v>1346</v>
      </c>
    </row>
    <row r="417" spans="1:13" ht="14.25">
      <c r="A417" s="284">
        <v>46256</v>
      </c>
      <c r="B417" s="38">
        <f>WEEKNUM(A416)</f>
        <v>34</v>
      </c>
      <c r="C417" s="39" t="s">
        <v>1347</v>
      </c>
      <c r="D417" s="38" t="s">
        <v>274</v>
      </c>
      <c r="E417" s="38" t="s">
        <v>1263</v>
      </c>
      <c r="F417" s="275" t="s">
        <v>990</v>
      </c>
      <c r="G417" s="38" t="s">
        <v>943</v>
      </c>
      <c r="H417" s="288"/>
      <c r="I417" s="220" t="s">
        <v>225</v>
      </c>
      <c r="J417" s="220" t="s">
        <v>31</v>
      </c>
      <c r="K417" s="39" t="s">
        <v>1348</v>
      </c>
    </row>
    <row r="418" spans="1:13" ht="14.25">
      <c r="A418" s="284">
        <v>46256</v>
      </c>
      <c r="B418" s="38">
        <f t="shared" ref="B418:B458" si="8">WEEKNUM(A418)</f>
        <v>34</v>
      </c>
      <c r="C418" s="39" t="s">
        <v>1349</v>
      </c>
      <c r="E418" s="38" t="s">
        <v>1296</v>
      </c>
      <c r="F418" s="311" t="s">
        <v>990</v>
      </c>
      <c r="G418" s="38" t="s">
        <v>943</v>
      </c>
      <c r="H418" s="288"/>
      <c r="I418" s="220" t="s">
        <v>225</v>
      </c>
      <c r="J418" s="312" t="s">
        <v>31</v>
      </c>
      <c r="K418" s="47" t="s">
        <v>1350</v>
      </c>
    </row>
    <row r="419" spans="1:13" ht="14.25">
      <c r="A419" s="284">
        <v>46256</v>
      </c>
      <c r="B419" s="38">
        <f t="shared" si="8"/>
        <v>34</v>
      </c>
      <c r="C419" s="39" t="s">
        <v>1351</v>
      </c>
      <c r="E419" s="38" t="s">
        <v>1284</v>
      </c>
      <c r="F419" s="259" t="s">
        <v>990</v>
      </c>
      <c r="G419" s="38" t="s">
        <v>943</v>
      </c>
      <c r="H419" s="288"/>
      <c r="I419" s="220" t="s">
        <v>225</v>
      </c>
      <c r="J419" s="220" t="s">
        <v>31</v>
      </c>
      <c r="K419" s="47" t="s">
        <v>1352</v>
      </c>
    </row>
    <row r="420" spans="1:13" ht="14.25">
      <c r="A420" s="284">
        <v>46256</v>
      </c>
      <c r="B420" s="38">
        <f t="shared" si="8"/>
        <v>34</v>
      </c>
      <c r="C420" s="39" t="s">
        <v>916</v>
      </c>
      <c r="E420" s="38" t="s">
        <v>1260</v>
      </c>
      <c r="F420" s="259" t="s">
        <v>990</v>
      </c>
      <c r="G420" s="38" t="s">
        <v>943</v>
      </c>
      <c r="H420" s="288"/>
      <c r="I420" s="220" t="s">
        <v>225</v>
      </c>
      <c r="J420" s="220" t="s">
        <v>31</v>
      </c>
    </row>
    <row r="421" spans="1:13" ht="14.25">
      <c r="A421" s="284">
        <v>46256</v>
      </c>
      <c r="B421" s="38">
        <f t="shared" si="8"/>
        <v>34</v>
      </c>
      <c r="C421" s="39" t="s">
        <v>916</v>
      </c>
      <c r="E421" s="38" t="s">
        <v>1269</v>
      </c>
      <c r="F421" s="288" t="s">
        <v>961</v>
      </c>
      <c r="H421" s="288"/>
      <c r="I421" s="220"/>
      <c r="J421" s="220"/>
    </row>
    <row r="422" spans="1:13" ht="14.25">
      <c r="A422" s="287">
        <v>46242</v>
      </c>
      <c r="B422" s="59">
        <f t="shared" si="8"/>
        <v>32</v>
      </c>
      <c r="C422" s="60"/>
      <c r="D422" s="59"/>
      <c r="E422" s="59"/>
      <c r="F422" s="282"/>
      <c r="G422" s="59"/>
      <c r="H422" s="282"/>
      <c r="I422" s="290"/>
      <c r="J422" s="290"/>
      <c r="K422" s="60"/>
      <c r="L422" s="59"/>
      <c r="M422" s="60"/>
    </row>
    <row r="423" spans="1:13" ht="14.25">
      <c r="A423" s="284">
        <v>46257</v>
      </c>
      <c r="B423" s="38">
        <f t="shared" si="8"/>
        <v>35</v>
      </c>
      <c r="C423" s="39" t="s">
        <v>1353</v>
      </c>
      <c r="E423" s="38" t="s">
        <v>1260</v>
      </c>
      <c r="F423" s="259" t="s">
        <v>990</v>
      </c>
      <c r="G423" s="38" t="s">
        <v>943</v>
      </c>
      <c r="H423" s="288"/>
      <c r="I423" s="220" t="s">
        <v>225</v>
      </c>
      <c r="J423" s="220" t="s">
        <v>34</v>
      </c>
    </row>
    <row r="424" spans="1:13" ht="14.25">
      <c r="A424" s="284">
        <v>46257</v>
      </c>
      <c r="B424" s="38">
        <f t="shared" si="8"/>
        <v>35</v>
      </c>
      <c r="C424" s="39" t="s">
        <v>1353</v>
      </c>
      <c r="E424" s="38" t="s">
        <v>1263</v>
      </c>
      <c r="F424" s="275" t="s">
        <v>990</v>
      </c>
      <c r="G424" s="38" t="s">
        <v>943</v>
      </c>
      <c r="H424" s="288"/>
      <c r="I424" s="220" t="s">
        <v>225</v>
      </c>
      <c r="J424" s="220" t="s">
        <v>34</v>
      </c>
    </row>
    <row r="425" spans="1:13" ht="14.25">
      <c r="A425" s="284">
        <v>46257</v>
      </c>
      <c r="B425" s="38">
        <f t="shared" si="8"/>
        <v>35</v>
      </c>
      <c r="C425" s="39" t="s">
        <v>1353</v>
      </c>
      <c r="E425" s="38" t="s">
        <v>1296</v>
      </c>
      <c r="F425" s="311" t="s">
        <v>990</v>
      </c>
      <c r="G425" s="38" t="s">
        <v>943</v>
      </c>
      <c r="H425" s="288"/>
      <c r="I425" s="312" t="s">
        <v>225</v>
      </c>
      <c r="J425" s="220" t="s">
        <v>34</v>
      </c>
    </row>
    <row r="426" spans="1:13" ht="14.25">
      <c r="A426" s="284">
        <v>46257</v>
      </c>
      <c r="B426" s="38">
        <f t="shared" si="8"/>
        <v>35</v>
      </c>
      <c r="C426" s="39" t="s">
        <v>1353</v>
      </c>
      <c r="E426" s="38" t="s">
        <v>1284</v>
      </c>
      <c r="F426" s="259" t="s">
        <v>990</v>
      </c>
      <c r="G426" s="38" t="s">
        <v>943</v>
      </c>
      <c r="H426" s="288"/>
      <c r="I426" s="220" t="s">
        <v>225</v>
      </c>
      <c r="J426" s="220" t="s">
        <v>34</v>
      </c>
    </row>
    <row r="427" spans="1:13" ht="14.25">
      <c r="A427" s="284">
        <v>46257</v>
      </c>
      <c r="B427" s="38">
        <f t="shared" si="8"/>
        <v>35</v>
      </c>
      <c r="C427" s="39" t="s">
        <v>916</v>
      </c>
      <c r="E427" s="38" t="s">
        <v>1278</v>
      </c>
      <c r="F427" s="288" t="s">
        <v>915</v>
      </c>
      <c r="G427" s="38" t="s">
        <v>991</v>
      </c>
      <c r="H427" s="288"/>
      <c r="I427" s="220" t="s">
        <v>225</v>
      </c>
      <c r="J427" s="220"/>
    </row>
    <row r="428" spans="1:13" ht="14.25">
      <c r="A428" s="284">
        <v>46257</v>
      </c>
      <c r="B428" s="38">
        <f t="shared" si="8"/>
        <v>35</v>
      </c>
      <c r="C428" s="39" t="s">
        <v>916</v>
      </c>
      <c r="E428" s="38" t="s">
        <v>1269</v>
      </c>
      <c r="F428" s="288" t="s">
        <v>961</v>
      </c>
      <c r="H428" s="288"/>
      <c r="I428" s="220"/>
      <c r="J428" s="220"/>
    </row>
    <row r="429" spans="1:13" ht="14.25">
      <c r="A429" s="287"/>
      <c r="B429" s="59">
        <f t="shared" si="8"/>
        <v>0</v>
      </c>
      <c r="C429" s="60"/>
      <c r="D429" s="59"/>
      <c r="E429" s="59"/>
      <c r="F429" s="282"/>
      <c r="G429" s="59"/>
      <c r="H429" s="282"/>
      <c r="I429" s="290"/>
      <c r="J429" s="290"/>
      <c r="K429" s="60"/>
      <c r="L429" s="59"/>
      <c r="M429" s="60"/>
    </row>
    <row r="430" spans="1:13" ht="14.25">
      <c r="A430" s="284">
        <v>46258</v>
      </c>
      <c r="B430" s="38">
        <f t="shared" si="8"/>
        <v>35</v>
      </c>
      <c r="C430" s="39" t="s">
        <v>1354</v>
      </c>
      <c r="E430" s="38" t="s">
        <v>1260</v>
      </c>
      <c r="F430" s="259" t="s">
        <v>990</v>
      </c>
      <c r="G430" s="38" t="s">
        <v>943</v>
      </c>
      <c r="H430" s="288"/>
      <c r="I430" s="220" t="s">
        <v>225</v>
      </c>
      <c r="J430" s="220" t="s">
        <v>31</v>
      </c>
    </row>
    <row r="431" spans="1:13" ht="14.25">
      <c r="A431" s="284">
        <v>46258</v>
      </c>
      <c r="B431" s="38">
        <f t="shared" si="8"/>
        <v>35</v>
      </c>
      <c r="C431" s="39" t="s">
        <v>1355</v>
      </c>
      <c r="E431" s="38" t="s">
        <v>1263</v>
      </c>
      <c r="F431" s="275" t="s">
        <v>990</v>
      </c>
      <c r="G431" s="38" t="s">
        <v>943</v>
      </c>
      <c r="H431" s="288"/>
      <c r="I431" s="220" t="s">
        <v>225</v>
      </c>
      <c r="J431" s="220" t="s">
        <v>31</v>
      </c>
    </row>
    <row r="432" spans="1:13" ht="14.25">
      <c r="A432" s="284">
        <v>46258</v>
      </c>
      <c r="B432" s="38">
        <f t="shared" si="8"/>
        <v>35</v>
      </c>
      <c r="C432" s="39" t="s">
        <v>1356</v>
      </c>
      <c r="E432" s="38" t="s">
        <v>1296</v>
      </c>
      <c r="F432" s="311" t="s">
        <v>990</v>
      </c>
      <c r="G432" s="38" t="s">
        <v>943</v>
      </c>
      <c r="H432" s="288"/>
      <c r="I432" s="220" t="s">
        <v>225</v>
      </c>
      <c r="J432" s="312" t="s">
        <v>31</v>
      </c>
    </row>
    <row r="433" spans="1:13" ht="14.25">
      <c r="A433" s="284">
        <v>46258</v>
      </c>
      <c r="B433" s="38">
        <f t="shared" si="8"/>
        <v>35</v>
      </c>
      <c r="C433" s="39" t="s">
        <v>1356</v>
      </c>
      <c r="E433" s="38" t="s">
        <v>1284</v>
      </c>
      <c r="F433" s="259" t="s">
        <v>990</v>
      </c>
      <c r="G433" s="38" t="s">
        <v>943</v>
      </c>
      <c r="H433" s="288"/>
      <c r="I433" s="220" t="s">
        <v>225</v>
      </c>
      <c r="J433" s="220" t="s">
        <v>31</v>
      </c>
    </row>
    <row r="434" spans="1:13" ht="14.25">
      <c r="A434" s="284">
        <v>46258</v>
      </c>
      <c r="B434" s="38">
        <f t="shared" si="8"/>
        <v>35</v>
      </c>
      <c r="C434" s="39" t="s">
        <v>916</v>
      </c>
      <c r="E434" s="38" t="s">
        <v>1278</v>
      </c>
      <c r="F434" s="288" t="s">
        <v>915</v>
      </c>
      <c r="G434" s="38" t="s">
        <v>991</v>
      </c>
      <c r="H434" s="288"/>
      <c r="I434" s="220" t="s">
        <v>225</v>
      </c>
      <c r="J434" s="220"/>
    </row>
    <row r="435" spans="1:13" ht="14.25">
      <c r="A435" s="284">
        <v>46258</v>
      </c>
      <c r="B435" s="38">
        <f t="shared" si="8"/>
        <v>35</v>
      </c>
      <c r="C435" s="39" t="s">
        <v>916</v>
      </c>
      <c r="E435" s="38" t="s">
        <v>1269</v>
      </c>
      <c r="F435" s="288" t="s">
        <v>961</v>
      </c>
      <c r="H435" s="288"/>
      <c r="I435" s="220"/>
      <c r="J435" s="220"/>
    </row>
    <row r="436" spans="1:13" ht="14.25">
      <c r="A436" s="287"/>
      <c r="B436" s="59">
        <f t="shared" si="8"/>
        <v>0</v>
      </c>
      <c r="C436" s="60"/>
      <c r="D436" s="59"/>
      <c r="E436" s="59"/>
      <c r="F436" s="282"/>
      <c r="G436" s="59"/>
      <c r="H436" s="282"/>
      <c r="I436" s="290"/>
      <c r="J436" s="290"/>
      <c r="K436" s="60"/>
      <c r="L436" s="59"/>
      <c r="M436" s="60"/>
    </row>
    <row r="437" spans="1:13" ht="25.5">
      <c r="A437" s="284">
        <v>46259</v>
      </c>
      <c r="B437" s="38">
        <f t="shared" si="8"/>
        <v>35</v>
      </c>
      <c r="C437" s="39" t="s">
        <v>1357</v>
      </c>
      <c r="E437" s="38" t="s">
        <v>1260</v>
      </c>
      <c r="F437" s="259" t="s">
        <v>990</v>
      </c>
      <c r="G437" s="38" t="s">
        <v>943</v>
      </c>
      <c r="H437" s="288"/>
      <c r="I437" s="220" t="s">
        <v>225</v>
      </c>
      <c r="J437" s="220" t="s">
        <v>31</v>
      </c>
      <c r="K437" s="47" t="s">
        <v>1358</v>
      </c>
    </row>
    <row r="438" spans="1:13" ht="14.25">
      <c r="A438" s="284">
        <v>46259</v>
      </c>
      <c r="B438" s="38">
        <f t="shared" si="8"/>
        <v>35</v>
      </c>
      <c r="C438" s="309" t="s">
        <v>1359</v>
      </c>
      <c r="E438" s="38" t="s">
        <v>1263</v>
      </c>
      <c r="F438" s="275" t="s">
        <v>990</v>
      </c>
      <c r="G438" s="38" t="s">
        <v>943</v>
      </c>
      <c r="H438" s="288"/>
      <c r="I438" s="220" t="s">
        <v>225</v>
      </c>
      <c r="J438" s="220" t="s">
        <v>31</v>
      </c>
    </row>
    <row r="439" spans="1:13" ht="14.25">
      <c r="A439" s="284">
        <v>46259</v>
      </c>
      <c r="B439" s="38">
        <f t="shared" si="8"/>
        <v>35</v>
      </c>
      <c r="C439" s="309" t="s">
        <v>1360</v>
      </c>
      <c r="E439" s="38" t="s">
        <v>1296</v>
      </c>
      <c r="F439" s="311" t="s">
        <v>990</v>
      </c>
      <c r="G439" s="38" t="s">
        <v>943</v>
      </c>
      <c r="H439" s="288"/>
      <c r="I439" s="220" t="s">
        <v>225</v>
      </c>
      <c r="J439" s="312" t="s">
        <v>31</v>
      </c>
    </row>
    <row r="440" spans="1:13" ht="14.25">
      <c r="A440" s="284">
        <v>46259</v>
      </c>
      <c r="B440" s="38">
        <f t="shared" si="8"/>
        <v>35</v>
      </c>
      <c r="C440" s="309" t="s">
        <v>1359</v>
      </c>
      <c r="E440" s="38" t="s">
        <v>1284</v>
      </c>
      <c r="F440" s="259" t="s">
        <v>990</v>
      </c>
      <c r="G440" s="38" t="s">
        <v>943</v>
      </c>
      <c r="H440" s="288"/>
      <c r="I440" s="220" t="s">
        <v>225</v>
      </c>
      <c r="J440" s="220" t="s">
        <v>31</v>
      </c>
    </row>
    <row r="441" spans="1:13" ht="14.25">
      <c r="A441" s="284">
        <v>46259</v>
      </c>
      <c r="B441" s="38">
        <f t="shared" si="8"/>
        <v>35</v>
      </c>
      <c r="C441" s="39" t="s">
        <v>916</v>
      </c>
      <c r="E441" s="38" t="s">
        <v>1260</v>
      </c>
      <c r="F441" s="259" t="s">
        <v>990</v>
      </c>
      <c r="G441" s="38" t="s">
        <v>943</v>
      </c>
      <c r="H441" s="288"/>
      <c r="I441" s="220" t="s">
        <v>225</v>
      </c>
      <c r="J441" s="220" t="s">
        <v>31</v>
      </c>
    </row>
    <row r="442" spans="1:13" ht="14.25">
      <c r="A442" s="284">
        <v>46259</v>
      </c>
      <c r="B442" s="38">
        <f t="shared" si="8"/>
        <v>35</v>
      </c>
      <c r="C442" s="39" t="s">
        <v>916</v>
      </c>
      <c r="E442" s="38" t="s">
        <v>1269</v>
      </c>
      <c r="F442" s="288" t="s">
        <v>961</v>
      </c>
      <c r="H442" s="288"/>
      <c r="I442" s="220"/>
      <c r="J442" s="220"/>
    </row>
    <row r="443" spans="1:13" ht="14.25">
      <c r="A443" s="287"/>
      <c r="B443" s="59">
        <f t="shared" si="8"/>
        <v>0</v>
      </c>
      <c r="C443" s="60"/>
      <c r="D443" s="59"/>
      <c r="E443" s="59"/>
      <c r="F443" s="282"/>
      <c r="G443" s="59"/>
      <c r="H443" s="282"/>
      <c r="I443" s="290"/>
      <c r="J443" s="290"/>
      <c r="K443" s="60"/>
      <c r="L443" s="59"/>
      <c r="M443" s="60"/>
    </row>
    <row r="444" spans="1:13" ht="14.25">
      <c r="A444" s="284">
        <v>46260</v>
      </c>
      <c r="B444" s="38">
        <f t="shared" si="8"/>
        <v>35</v>
      </c>
      <c r="C444" s="39" t="s">
        <v>1361</v>
      </c>
      <c r="E444" s="38" t="s">
        <v>1260</v>
      </c>
      <c r="F444" s="259" t="s">
        <v>961</v>
      </c>
      <c r="G444" s="38" t="s">
        <v>916</v>
      </c>
      <c r="H444" s="288"/>
      <c r="I444" s="220" t="s">
        <v>225</v>
      </c>
      <c r="J444" s="220" t="s">
        <v>34</v>
      </c>
    </row>
    <row r="445" spans="1:13" ht="14.25">
      <c r="A445" s="284">
        <v>46260</v>
      </c>
      <c r="B445" s="38">
        <f t="shared" si="8"/>
        <v>35</v>
      </c>
      <c r="C445" s="39" t="s">
        <v>1362</v>
      </c>
      <c r="E445" s="38" t="s">
        <v>1263</v>
      </c>
      <c r="F445" s="275" t="s">
        <v>961</v>
      </c>
      <c r="G445" s="38" t="s">
        <v>916</v>
      </c>
      <c r="H445" s="288"/>
      <c r="I445" s="220" t="s">
        <v>225</v>
      </c>
      <c r="J445" s="220" t="s">
        <v>34</v>
      </c>
    </row>
    <row r="446" spans="1:13" ht="14.25">
      <c r="A446" s="284">
        <v>46260</v>
      </c>
      <c r="B446" s="38">
        <f t="shared" si="8"/>
        <v>35</v>
      </c>
      <c r="C446" s="39" t="s">
        <v>1363</v>
      </c>
      <c r="E446" s="38" t="s">
        <v>1296</v>
      </c>
      <c r="F446" s="311" t="s">
        <v>961</v>
      </c>
      <c r="G446" s="38" t="s">
        <v>916</v>
      </c>
      <c r="H446" s="288"/>
      <c r="I446" s="220" t="s">
        <v>225</v>
      </c>
      <c r="J446" s="220" t="s">
        <v>34</v>
      </c>
    </row>
    <row r="447" spans="1:13" ht="14.25">
      <c r="A447" s="284">
        <v>46260</v>
      </c>
      <c r="B447" s="38">
        <f t="shared" si="8"/>
        <v>35</v>
      </c>
      <c r="C447" s="39" t="s">
        <v>1262</v>
      </c>
      <c r="E447" s="38" t="s">
        <v>1284</v>
      </c>
      <c r="F447" s="259" t="s">
        <v>915</v>
      </c>
      <c r="G447" s="38" t="s">
        <v>1264</v>
      </c>
      <c r="H447" s="288"/>
      <c r="I447" s="220" t="s">
        <v>225</v>
      </c>
      <c r="J447" s="220" t="s">
        <v>34</v>
      </c>
    </row>
    <row r="448" spans="1:13" ht="14.25">
      <c r="A448" s="284">
        <v>46260</v>
      </c>
      <c r="B448" s="38">
        <f t="shared" si="8"/>
        <v>35</v>
      </c>
      <c r="C448" s="39" t="s">
        <v>916</v>
      </c>
      <c r="E448" s="38" t="s">
        <v>1278</v>
      </c>
      <c r="F448" s="288" t="s">
        <v>915</v>
      </c>
      <c r="G448" s="38" t="s">
        <v>991</v>
      </c>
      <c r="H448" s="288"/>
      <c r="I448" s="220" t="s">
        <v>225</v>
      </c>
      <c r="J448" s="220"/>
    </row>
    <row r="449" spans="1:13" ht="14.25">
      <c r="A449" s="284">
        <v>46260</v>
      </c>
      <c r="B449" s="38">
        <f t="shared" si="8"/>
        <v>35</v>
      </c>
      <c r="C449" s="39" t="s">
        <v>916</v>
      </c>
      <c r="E449" s="38" t="s">
        <v>1269</v>
      </c>
      <c r="F449" s="288" t="s">
        <v>961</v>
      </c>
      <c r="H449" s="288"/>
      <c r="I449" s="220"/>
      <c r="J449" s="220"/>
    </row>
    <row r="450" spans="1:13" ht="14.25">
      <c r="A450" s="287"/>
      <c r="B450" s="59">
        <f t="shared" si="8"/>
        <v>0</v>
      </c>
      <c r="C450" s="60"/>
      <c r="D450" s="59"/>
      <c r="E450" s="59"/>
      <c r="F450" s="282"/>
      <c r="G450" s="59"/>
      <c r="H450" s="282"/>
      <c r="I450" s="290"/>
      <c r="J450" s="290"/>
      <c r="K450" s="60"/>
      <c r="L450" s="59"/>
      <c r="M450" s="60"/>
    </row>
    <row r="451" spans="1:13" ht="14.25">
      <c r="A451" s="284">
        <v>46261</v>
      </c>
      <c r="B451" s="38">
        <f t="shared" si="8"/>
        <v>35</v>
      </c>
      <c r="C451" s="39" t="s">
        <v>1364</v>
      </c>
      <c r="E451" s="38" t="s">
        <v>1260</v>
      </c>
      <c r="F451" s="259" t="s">
        <v>990</v>
      </c>
      <c r="G451" s="38" t="s">
        <v>943</v>
      </c>
      <c r="H451" s="288"/>
      <c r="I451" s="220" t="s">
        <v>225</v>
      </c>
      <c r="J451" s="220" t="s">
        <v>34</v>
      </c>
    </row>
    <row r="452" spans="1:13" ht="14.25">
      <c r="A452" s="284">
        <v>46261</v>
      </c>
      <c r="B452" s="38">
        <f t="shared" si="8"/>
        <v>35</v>
      </c>
      <c r="C452" s="39" t="s">
        <v>1365</v>
      </c>
      <c r="E452" s="38" t="s">
        <v>1263</v>
      </c>
      <c r="F452" s="275" t="s">
        <v>990</v>
      </c>
      <c r="G452" s="38" t="s">
        <v>943</v>
      </c>
      <c r="H452" s="288"/>
      <c r="I452" s="220" t="s">
        <v>225</v>
      </c>
      <c r="J452" s="220" t="s">
        <v>34</v>
      </c>
    </row>
    <row r="453" spans="1:13" ht="14.25">
      <c r="A453" s="284">
        <v>46261</v>
      </c>
      <c r="B453" s="38">
        <f t="shared" si="8"/>
        <v>35</v>
      </c>
      <c r="C453" s="39" t="s">
        <v>1366</v>
      </c>
      <c r="E453" s="38" t="s">
        <v>1296</v>
      </c>
      <c r="F453" s="311" t="s">
        <v>990</v>
      </c>
      <c r="G453" s="38" t="s">
        <v>943</v>
      </c>
      <c r="H453" s="288"/>
      <c r="I453" s="312" t="s">
        <v>225</v>
      </c>
      <c r="J453" s="220" t="s">
        <v>34</v>
      </c>
    </row>
    <row r="454" spans="1:13" ht="14.25">
      <c r="A454" s="284">
        <v>46261</v>
      </c>
      <c r="B454" s="38">
        <f t="shared" si="8"/>
        <v>35</v>
      </c>
      <c r="C454" s="39" t="s">
        <v>1367</v>
      </c>
      <c r="E454" s="38" t="s">
        <v>1284</v>
      </c>
      <c r="F454" s="259" t="s">
        <v>990</v>
      </c>
      <c r="G454" s="38" t="s">
        <v>943</v>
      </c>
      <c r="H454" s="288"/>
      <c r="I454" s="220" t="s">
        <v>225</v>
      </c>
      <c r="J454" s="220" t="s">
        <v>34</v>
      </c>
    </row>
    <row r="455" spans="1:13" ht="14.25">
      <c r="A455" s="284">
        <v>46261</v>
      </c>
      <c r="B455" s="38">
        <f t="shared" si="8"/>
        <v>35</v>
      </c>
      <c r="C455" s="39" t="s">
        <v>916</v>
      </c>
      <c r="E455" s="38" t="s">
        <v>1278</v>
      </c>
      <c r="F455" s="288" t="s">
        <v>915</v>
      </c>
      <c r="G455" s="38" t="s">
        <v>991</v>
      </c>
      <c r="H455" s="288"/>
      <c r="I455" s="220" t="s">
        <v>225</v>
      </c>
      <c r="J455" s="220"/>
    </row>
    <row r="456" spans="1:13" ht="14.25">
      <c r="A456" s="284">
        <v>46261</v>
      </c>
      <c r="B456" s="38">
        <f t="shared" si="8"/>
        <v>35</v>
      </c>
      <c r="C456" s="39" t="s">
        <v>916</v>
      </c>
      <c r="E456" s="38" t="s">
        <v>1269</v>
      </c>
      <c r="F456" s="288" t="s">
        <v>961</v>
      </c>
      <c r="H456" s="288"/>
      <c r="I456" s="220"/>
      <c r="J456" s="220"/>
    </row>
    <row r="457" spans="1:13" ht="14.25">
      <c r="A457" s="287"/>
      <c r="B457" s="59">
        <f t="shared" si="8"/>
        <v>0</v>
      </c>
      <c r="C457" s="60"/>
      <c r="D457" s="59"/>
      <c r="E457" s="59"/>
      <c r="F457" s="282"/>
      <c r="G457" s="59"/>
      <c r="H457" s="282"/>
      <c r="I457" s="290"/>
      <c r="J457" s="290"/>
      <c r="K457" s="60"/>
      <c r="L457" s="59"/>
      <c r="M457" s="60"/>
    </row>
    <row r="458" spans="1:13" ht="14.25">
      <c r="A458" s="284">
        <v>46263</v>
      </c>
      <c r="B458" s="38">
        <f t="shared" si="8"/>
        <v>35</v>
      </c>
      <c r="C458" s="39" t="s">
        <v>1368</v>
      </c>
      <c r="E458" s="38" t="s">
        <v>1260</v>
      </c>
      <c r="F458" s="259" t="s">
        <v>990</v>
      </c>
      <c r="G458" s="38" t="s">
        <v>943</v>
      </c>
      <c r="H458" s="288"/>
      <c r="I458" s="220" t="s">
        <v>225</v>
      </c>
      <c r="J458" s="220" t="s">
        <v>31</v>
      </c>
    </row>
    <row r="459" spans="1:13" ht="14.25">
      <c r="A459" s="284">
        <v>46263</v>
      </c>
      <c r="B459" s="38">
        <f>WEEKNUM(A458)</f>
        <v>35</v>
      </c>
      <c r="C459" s="39" t="s">
        <v>1368</v>
      </c>
      <c r="E459" s="38" t="s">
        <v>1263</v>
      </c>
      <c r="F459" s="275" t="s">
        <v>990</v>
      </c>
      <c r="G459" s="38" t="s">
        <v>943</v>
      </c>
      <c r="H459" s="288"/>
      <c r="I459" s="220" t="s">
        <v>225</v>
      </c>
      <c r="J459" s="220" t="s">
        <v>31</v>
      </c>
    </row>
    <row r="460" spans="1:13" ht="14.25">
      <c r="A460" s="284">
        <v>46263</v>
      </c>
      <c r="B460" s="38">
        <f t="shared" ref="B460:B501" si="9">WEEKNUM(A460)</f>
        <v>35</v>
      </c>
      <c r="C460" s="39" t="s">
        <v>1368</v>
      </c>
      <c r="E460" s="38" t="s">
        <v>1296</v>
      </c>
      <c r="F460" s="311" t="s">
        <v>990</v>
      </c>
      <c r="G460" s="38" t="s">
        <v>943</v>
      </c>
      <c r="H460" s="288"/>
      <c r="I460" s="220" t="s">
        <v>225</v>
      </c>
      <c r="J460" s="312" t="s">
        <v>31</v>
      </c>
      <c r="K460" s="47"/>
    </row>
    <row r="461" spans="1:13" ht="14.25">
      <c r="A461" s="284">
        <v>46263</v>
      </c>
      <c r="B461" s="38">
        <f t="shared" si="9"/>
        <v>35</v>
      </c>
      <c r="C461" s="39" t="s">
        <v>1368</v>
      </c>
      <c r="E461" s="38" t="s">
        <v>1284</v>
      </c>
      <c r="F461" s="259" t="s">
        <v>990</v>
      </c>
      <c r="G461" s="38" t="s">
        <v>943</v>
      </c>
      <c r="H461" s="288"/>
      <c r="I461" s="220" t="s">
        <v>225</v>
      </c>
      <c r="J461" s="220" t="s">
        <v>31</v>
      </c>
      <c r="K461" s="47"/>
    </row>
    <row r="462" spans="1:13" ht="14.25">
      <c r="A462" s="284">
        <v>46263</v>
      </c>
      <c r="B462" s="38">
        <f t="shared" si="9"/>
        <v>35</v>
      </c>
      <c r="C462" s="39" t="s">
        <v>916</v>
      </c>
      <c r="E462" s="38" t="s">
        <v>1260</v>
      </c>
      <c r="F462" s="259" t="s">
        <v>990</v>
      </c>
      <c r="G462" s="38" t="s">
        <v>943</v>
      </c>
      <c r="H462" s="288"/>
      <c r="I462" s="220" t="s">
        <v>225</v>
      </c>
      <c r="J462" s="220" t="s">
        <v>31</v>
      </c>
    </row>
    <row r="463" spans="1:13" ht="14.25">
      <c r="A463" s="284">
        <v>46263</v>
      </c>
      <c r="B463" s="38">
        <f t="shared" si="9"/>
        <v>35</v>
      </c>
      <c r="C463" s="39" t="s">
        <v>916</v>
      </c>
      <c r="E463" s="38" t="s">
        <v>1269</v>
      </c>
      <c r="F463" s="288" t="s">
        <v>961</v>
      </c>
      <c r="H463" s="288"/>
      <c r="I463" s="220"/>
      <c r="J463" s="220"/>
    </row>
    <row r="464" spans="1:13" ht="14.25">
      <c r="A464" s="287"/>
      <c r="B464" s="59">
        <f t="shared" si="9"/>
        <v>0</v>
      </c>
      <c r="C464" s="60"/>
      <c r="D464" s="59"/>
      <c r="E464" s="59"/>
      <c r="F464" s="282"/>
      <c r="G464" s="59"/>
      <c r="H464" s="282"/>
      <c r="I464" s="290"/>
      <c r="J464" s="290"/>
      <c r="K464" s="60"/>
    </row>
    <row r="465" spans="1:11" ht="14.25">
      <c r="A465" s="284">
        <v>46264</v>
      </c>
      <c r="B465" s="38">
        <f t="shared" si="9"/>
        <v>36</v>
      </c>
      <c r="C465" s="39" t="s">
        <v>1369</v>
      </c>
      <c r="E465" s="38" t="s">
        <v>1284</v>
      </c>
      <c r="F465" s="259" t="s">
        <v>961</v>
      </c>
      <c r="G465" s="38" t="s">
        <v>916</v>
      </c>
      <c r="H465" s="259"/>
      <c r="I465" s="220"/>
      <c r="J465" s="220"/>
    </row>
    <row r="466" spans="1:11" ht="14.25">
      <c r="A466" s="284">
        <v>46264</v>
      </c>
      <c r="B466" s="38">
        <f t="shared" si="9"/>
        <v>36</v>
      </c>
      <c r="C466" s="39" t="s">
        <v>1364</v>
      </c>
      <c r="E466" s="38" t="s">
        <v>1260</v>
      </c>
      <c r="F466" s="259" t="s">
        <v>990</v>
      </c>
      <c r="G466" s="38" t="s">
        <v>943</v>
      </c>
      <c r="H466" s="288"/>
      <c r="I466" s="220" t="s">
        <v>225</v>
      </c>
      <c r="J466" s="220" t="s">
        <v>31</v>
      </c>
      <c r="K466" s="47" t="s">
        <v>1358</v>
      </c>
    </row>
    <row r="467" spans="1:11" ht="14.25">
      <c r="A467" s="284">
        <v>46264</v>
      </c>
      <c r="B467" s="38">
        <f t="shared" si="9"/>
        <v>36</v>
      </c>
      <c r="C467" s="39" t="s">
        <v>1365</v>
      </c>
      <c r="E467" s="38" t="s">
        <v>1263</v>
      </c>
      <c r="F467" s="275" t="s">
        <v>990</v>
      </c>
      <c r="G467" s="38" t="s">
        <v>943</v>
      </c>
      <c r="H467" s="288"/>
      <c r="I467" s="220" t="s">
        <v>225</v>
      </c>
      <c r="J467" s="220" t="s">
        <v>31</v>
      </c>
    </row>
    <row r="468" spans="1:11" ht="14.25">
      <c r="A468" s="284">
        <v>46264</v>
      </c>
      <c r="B468" s="38">
        <f t="shared" si="9"/>
        <v>36</v>
      </c>
      <c r="C468" s="39" t="s">
        <v>1366</v>
      </c>
      <c r="E468" s="38" t="s">
        <v>1296</v>
      </c>
      <c r="F468" s="311" t="s">
        <v>990</v>
      </c>
      <c r="G468" s="38" t="s">
        <v>943</v>
      </c>
      <c r="H468" s="288"/>
      <c r="I468" s="220" t="s">
        <v>225</v>
      </c>
      <c r="J468" s="312" t="s">
        <v>31</v>
      </c>
    </row>
    <row r="469" spans="1:11" ht="14.25">
      <c r="A469" s="284">
        <v>46264</v>
      </c>
      <c r="B469" s="38">
        <f t="shared" si="9"/>
        <v>36</v>
      </c>
      <c r="C469" s="39" t="s">
        <v>1367</v>
      </c>
      <c r="E469" s="38" t="s">
        <v>1284</v>
      </c>
      <c r="F469" s="259" t="s">
        <v>990</v>
      </c>
      <c r="G469" s="38" t="s">
        <v>943</v>
      </c>
      <c r="H469" s="288"/>
      <c r="I469" s="220" t="s">
        <v>225</v>
      </c>
      <c r="J469" s="220" t="s">
        <v>31</v>
      </c>
    </row>
    <row r="470" spans="1:11" ht="14.25">
      <c r="A470" s="284">
        <v>46264</v>
      </c>
      <c r="B470" s="38">
        <f t="shared" si="9"/>
        <v>36</v>
      </c>
      <c r="C470" s="39" t="s">
        <v>1370</v>
      </c>
      <c r="E470" s="38" t="s">
        <v>1260</v>
      </c>
      <c r="F470" s="259" t="s">
        <v>990</v>
      </c>
      <c r="G470" s="38" t="s">
        <v>943</v>
      </c>
      <c r="H470" s="288"/>
      <c r="I470" s="220" t="s">
        <v>225</v>
      </c>
      <c r="J470" s="220" t="s">
        <v>31</v>
      </c>
      <c r="K470" s="39" t="s">
        <v>1371</v>
      </c>
    </row>
    <row r="471" spans="1:11" ht="14.25">
      <c r="A471" s="284">
        <v>46264</v>
      </c>
      <c r="B471" s="38">
        <f t="shared" si="9"/>
        <v>36</v>
      </c>
      <c r="C471" s="39" t="s">
        <v>916</v>
      </c>
      <c r="E471" s="38" t="s">
        <v>1269</v>
      </c>
      <c r="F471" s="288" t="s">
        <v>961</v>
      </c>
      <c r="H471" s="288"/>
      <c r="I471" s="220"/>
      <c r="J471" s="220"/>
    </row>
    <row r="472" spans="1:11" ht="14.25">
      <c r="A472" s="287"/>
      <c r="B472" s="59">
        <f t="shared" si="9"/>
        <v>0</v>
      </c>
      <c r="C472" s="60"/>
      <c r="D472" s="59"/>
      <c r="E472" s="59"/>
      <c r="F472" s="282"/>
      <c r="G472" s="59"/>
      <c r="H472" s="282"/>
      <c r="I472" s="290"/>
      <c r="J472" s="290"/>
      <c r="K472" s="60"/>
    </row>
    <row r="473" spans="1:11" ht="25.5">
      <c r="A473" s="284">
        <v>46265</v>
      </c>
      <c r="B473" s="38">
        <f t="shared" si="9"/>
        <v>36</v>
      </c>
      <c r="C473" s="39" t="s">
        <v>1357</v>
      </c>
      <c r="E473" s="38" t="s">
        <v>1260</v>
      </c>
      <c r="F473" s="259" t="s">
        <v>990</v>
      </c>
      <c r="G473" s="38" t="s">
        <v>943</v>
      </c>
      <c r="H473" s="288"/>
      <c r="I473" s="220" t="s">
        <v>225</v>
      </c>
      <c r="J473" s="220" t="s">
        <v>31</v>
      </c>
    </row>
    <row r="474" spans="1:11" ht="14.25">
      <c r="A474" s="284">
        <v>46265</v>
      </c>
      <c r="B474" s="38">
        <f t="shared" si="9"/>
        <v>36</v>
      </c>
      <c r="C474" s="309" t="s">
        <v>1359</v>
      </c>
      <c r="E474" s="38" t="s">
        <v>1263</v>
      </c>
      <c r="F474" s="275" t="s">
        <v>990</v>
      </c>
      <c r="G474" s="38" t="s">
        <v>943</v>
      </c>
      <c r="H474" s="288"/>
      <c r="I474" s="220" t="s">
        <v>225</v>
      </c>
      <c r="J474" s="220" t="s">
        <v>31</v>
      </c>
    </row>
    <row r="475" spans="1:11" ht="14.25">
      <c r="A475" s="284">
        <v>46265</v>
      </c>
      <c r="B475" s="38">
        <f t="shared" si="9"/>
        <v>36</v>
      </c>
      <c r="C475" s="309" t="s">
        <v>1360</v>
      </c>
      <c r="E475" s="38" t="s">
        <v>1296</v>
      </c>
      <c r="F475" s="311" t="s">
        <v>990</v>
      </c>
      <c r="G475" s="38" t="s">
        <v>943</v>
      </c>
      <c r="H475" s="288"/>
      <c r="I475" s="220" t="s">
        <v>225</v>
      </c>
      <c r="J475" s="312" t="s">
        <v>31</v>
      </c>
    </row>
    <row r="476" spans="1:11" ht="14.25">
      <c r="A476" s="284">
        <v>46265</v>
      </c>
      <c r="B476" s="38">
        <f t="shared" si="9"/>
        <v>36</v>
      </c>
      <c r="C476" s="309" t="s">
        <v>1359</v>
      </c>
      <c r="E476" s="38" t="s">
        <v>1284</v>
      </c>
      <c r="F476" s="259" t="s">
        <v>990</v>
      </c>
      <c r="G476" s="38" t="s">
        <v>943</v>
      </c>
      <c r="H476" s="288"/>
      <c r="I476" s="220" t="s">
        <v>225</v>
      </c>
      <c r="J476" s="220" t="s">
        <v>31</v>
      </c>
    </row>
    <row r="477" spans="1:11" ht="14.25">
      <c r="A477" s="284">
        <v>46265</v>
      </c>
      <c r="B477" s="38">
        <f t="shared" si="9"/>
        <v>36</v>
      </c>
      <c r="C477" s="39" t="s">
        <v>916</v>
      </c>
      <c r="E477" s="38" t="s">
        <v>1278</v>
      </c>
      <c r="F477" s="288" t="s">
        <v>915</v>
      </c>
      <c r="G477" s="38" t="s">
        <v>991</v>
      </c>
      <c r="H477" s="288"/>
      <c r="I477" s="220" t="s">
        <v>225</v>
      </c>
      <c r="J477" s="220"/>
    </row>
    <row r="478" spans="1:11" ht="14.25">
      <c r="A478" s="284">
        <v>46265</v>
      </c>
      <c r="B478" s="38">
        <f t="shared" si="9"/>
        <v>36</v>
      </c>
      <c r="C478" s="39" t="s">
        <v>916</v>
      </c>
      <c r="E478" s="38" t="s">
        <v>1269</v>
      </c>
      <c r="F478" s="288" t="s">
        <v>961</v>
      </c>
      <c r="H478" s="288"/>
      <c r="I478" s="220"/>
      <c r="J478" s="220"/>
    </row>
    <row r="479" spans="1:11" ht="14.25">
      <c r="A479" s="287"/>
      <c r="B479" s="59">
        <f t="shared" si="9"/>
        <v>0</v>
      </c>
      <c r="C479" s="60"/>
      <c r="D479" s="59"/>
      <c r="E479" s="59"/>
      <c r="F479" s="282"/>
      <c r="G479" s="59"/>
      <c r="H479" s="282"/>
      <c r="I479" s="290"/>
      <c r="J479" s="290"/>
      <c r="K479" s="60"/>
    </row>
    <row r="480" spans="1:11" ht="14.25">
      <c r="A480" s="284">
        <v>46266</v>
      </c>
      <c r="B480" s="38">
        <f t="shared" si="9"/>
        <v>36</v>
      </c>
      <c r="C480" s="39" t="s">
        <v>1372</v>
      </c>
      <c r="E480" s="38" t="s">
        <v>1260</v>
      </c>
      <c r="F480" s="259" t="s">
        <v>990</v>
      </c>
      <c r="G480" s="38" t="s">
        <v>943</v>
      </c>
      <c r="H480" s="288"/>
      <c r="I480" s="220" t="s">
        <v>225</v>
      </c>
      <c r="J480" s="220" t="s">
        <v>31</v>
      </c>
      <c r="K480" s="47"/>
    </row>
    <row r="481" spans="1:11" ht="25.5">
      <c r="A481" s="284">
        <v>46266</v>
      </c>
      <c r="B481" s="38">
        <f t="shared" si="9"/>
        <v>36</v>
      </c>
      <c r="C481" s="39" t="s">
        <v>1373</v>
      </c>
      <c r="E481" s="38" t="s">
        <v>1263</v>
      </c>
      <c r="F481" s="275" t="s">
        <v>990</v>
      </c>
      <c r="G481" s="38" t="s">
        <v>943</v>
      </c>
      <c r="H481" s="288"/>
      <c r="I481" s="220" t="s">
        <v>225</v>
      </c>
      <c r="J481" s="220" t="s">
        <v>31</v>
      </c>
      <c r="K481" s="39" t="s">
        <v>1374</v>
      </c>
    </row>
    <row r="482" spans="1:11" ht="25.5">
      <c r="A482" s="284">
        <v>46266</v>
      </c>
      <c r="B482" s="38">
        <f t="shared" si="9"/>
        <v>36</v>
      </c>
      <c r="C482" s="39" t="s">
        <v>1375</v>
      </c>
      <c r="E482" s="38" t="s">
        <v>1296</v>
      </c>
      <c r="F482" s="311" t="s">
        <v>990</v>
      </c>
      <c r="G482" s="38" t="s">
        <v>943</v>
      </c>
      <c r="H482" s="288"/>
      <c r="I482" s="220" t="s">
        <v>225</v>
      </c>
      <c r="J482" s="312" t="s">
        <v>31</v>
      </c>
      <c r="K482" s="39" t="s">
        <v>1376</v>
      </c>
    </row>
    <row r="483" spans="1:11" ht="14.25">
      <c r="A483" s="284">
        <v>46266</v>
      </c>
      <c r="B483" s="38">
        <f t="shared" si="9"/>
        <v>36</v>
      </c>
      <c r="C483" s="39" t="s">
        <v>1377</v>
      </c>
      <c r="E483" s="38" t="s">
        <v>1284</v>
      </c>
      <c r="F483" s="259" t="s">
        <v>990</v>
      </c>
      <c r="G483" s="38" t="s">
        <v>943</v>
      </c>
      <c r="H483" s="288"/>
      <c r="I483" s="220" t="s">
        <v>225</v>
      </c>
      <c r="J483" s="220" t="s">
        <v>31</v>
      </c>
    </row>
    <row r="484" spans="1:11" ht="14.25">
      <c r="A484" s="284">
        <v>46266</v>
      </c>
      <c r="B484" s="38">
        <f t="shared" si="9"/>
        <v>36</v>
      </c>
      <c r="C484" s="39" t="s">
        <v>1378</v>
      </c>
      <c r="E484" s="38" t="s">
        <v>1278</v>
      </c>
      <c r="F484" s="288" t="s">
        <v>915</v>
      </c>
      <c r="G484" s="38" t="s">
        <v>991</v>
      </c>
      <c r="H484" s="288"/>
      <c r="I484" s="220" t="s">
        <v>225</v>
      </c>
      <c r="J484" s="220"/>
    </row>
    <row r="485" spans="1:11" ht="14.25">
      <c r="A485" s="284">
        <v>46266</v>
      </c>
      <c r="B485" s="38">
        <f t="shared" si="9"/>
        <v>36</v>
      </c>
      <c r="C485" s="39" t="s">
        <v>1378</v>
      </c>
      <c r="E485" s="38" t="s">
        <v>1269</v>
      </c>
      <c r="F485" s="288" t="s">
        <v>961</v>
      </c>
      <c r="H485" s="288"/>
      <c r="I485" s="220"/>
      <c r="J485" s="220"/>
    </row>
    <row r="486" spans="1:11" ht="14.25">
      <c r="A486" s="287"/>
      <c r="B486" s="59">
        <f t="shared" si="9"/>
        <v>0</v>
      </c>
      <c r="C486" s="60"/>
      <c r="D486" s="59"/>
      <c r="E486" s="59"/>
      <c r="F486" s="282"/>
      <c r="G486" s="59"/>
      <c r="H486" s="282"/>
      <c r="I486" s="290"/>
      <c r="J486" s="290"/>
      <c r="K486" s="60"/>
    </row>
    <row r="487" spans="1:11" ht="14.25">
      <c r="A487" s="284">
        <v>46267</v>
      </c>
      <c r="B487" s="38">
        <f t="shared" si="9"/>
        <v>36</v>
      </c>
      <c r="C487" s="39" t="s">
        <v>1361</v>
      </c>
      <c r="E487" s="38" t="s">
        <v>1260</v>
      </c>
      <c r="F487" s="259" t="s">
        <v>961</v>
      </c>
      <c r="G487" s="38" t="s">
        <v>916</v>
      </c>
      <c r="H487" s="288"/>
      <c r="I487" s="220" t="s">
        <v>225</v>
      </c>
      <c r="J487" s="220" t="s">
        <v>34</v>
      </c>
    </row>
    <row r="488" spans="1:11" ht="14.25">
      <c r="A488" s="284">
        <v>46267</v>
      </c>
      <c r="B488" s="38">
        <f t="shared" si="9"/>
        <v>36</v>
      </c>
      <c r="C488" s="39" t="s">
        <v>1362</v>
      </c>
      <c r="E488" s="38" t="s">
        <v>1263</v>
      </c>
      <c r="F488" s="275" t="s">
        <v>961</v>
      </c>
      <c r="G488" s="38" t="s">
        <v>916</v>
      </c>
      <c r="H488" s="288"/>
      <c r="I488" s="220" t="s">
        <v>225</v>
      </c>
      <c r="J488" s="220" t="s">
        <v>34</v>
      </c>
    </row>
    <row r="489" spans="1:11" ht="14.25">
      <c r="A489" s="284">
        <v>46267</v>
      </c>
      <c r="B489" s="38">
        <f t="shared" si="9"/>
        <v>36</v>
      </c>
      <c r="C489" s="39" t="s">
        <v>1363</v>
      </c>
      <c r="E489" s="38" t="s">
        <v>1296</v>
      </c>
      <c r="F489" s="311" t="s">
        <v>961</v>
      </c>
      <c r="G489" s="38" t="s">
        <v>916</v>
      </c>
      <c r="H489" s="288"/>
      <c r="I489" s="220" t="s">
        <v>225</v>
      </c>
      <c r="J489" s="220" t="s">
        <v>34</v>
      </c>
    </row>
    <row r="490" spans="1:11" ht="14.25">
      <c r="A490" s="284">
        <v>46267</v>
      </c>
      <c r="B490" s="38">
        <f t="shared" si="9"/>
        <v>36</v>
      </c>
      <c r="C490" s="39" t="s">
        <v>1262</v>
      </c>
      <c r="E490" s="38" t="s">
        <v>1284</v>
      </c>
      <c r="F490" s="259" t="s">
        <v>915</v>
      </c>
      <c r="G490" s="38" t="s">
        <v>1264</v>
      </c>
      <c r="H490" s="288"/>
      <c r="I490" s="220" t="s">
        <v>225</v>
      </c>
      <c r="J490" s="220" t="s">
        <v>34</v>
      </c>
    </row>
    <row r="491" spans="1:11" ht="14.25">
      <c r="A491" s="284">
        <v>46267</v>
      </c>
      <c r="B491" s="38">
        <f t="shared" si="9"/>
        <v>36</v>
      </c>
      <c r="C491" s="39" t="s">
        <v>916</v>
      </c>
      <c r="E491" s="38" t="s">
        <v>1278</v>
      </c>
      <c r="F491" s="288" t="s">
        <v>915</v>
      </c>
      <c r="G491" s="38" t="s">
        <v>991</v>
      </c>
      <c r="H491" s="288"/>
      <c r="I491" s="220" t="s">
        <v>225</v>
      </c>
      <c r="J491" s="220"/>
    </row>
    <row r="492" spans="1:11" ht="14.25">
      <c r="A492" s="284">
        <v>46267</v>
      </c>
      <c r="B492" s="38">
        <f t="shared" si="9"/>
        <v>36</v>
      </c>
      <c r="C492" s="39" t="s">
        <v>916</v>
      </c>
      <c r="E492" s="38" t="s">
        <v>1269</v>
      </c>
      <c r="F492" s="288" t="s">
        <v>961</v>
      </c>
      <c r="H492" s="288"/>
      <c r="I492" s="220"/>
      <c r="J492" s="220"/>
    </row>
    <row r="493" spans="1:11" ht="14.25">
      <c r="A493" s="287"/>
      <c r="B493" s="59">
        <f t="shared" si="9"/>
        <v>0</v>
      </c>
      <c r="C493" s="60"/>
      <c r="D493" s="59"/>
      <c r="E493" s="59"/>
      <c r="F493" s="282"/>
      <c r="G493" s="59"/>
      <c r="H493" s="282"/>
      <c r="I493" s="290"/>
      <c r="J493" s="290"/>
      <c r="K493" s="60"/>
    </row>
    <row r="494" spans="1:11" ht="14.25">
      <c r="A494" s="284">
        <v>46268</v>
      </c>
      <c r="B494" s="38">
        <f t="shared" si="9"/>
        <v>36</v>
      </c>
      <c r="C494" s="39" t="s">
        <v>1364</v>
      </c>
      <c r="E494" s="38" t="s">
        <v>1260</v>
      </c>
      <c r="F494" s="259" t="s">
        <v>990</v>
      </c>
      <c r="G494" s="38" t="s">
        <v>943</v>
      </c>
      <c r="H494" s="288"/>
      <c r="I494" s="220" t="s">
        <v>225</v>
      </c>
      <c r="J494" s="220" t="s">
        <v>34</v>
      </c>
    </row>
    <row r="495" spans="1:11" ht="14.25">
      <c r="A495" s="284">
        <v>46268</v>
      </c>
      <c r="B495" s="38">
        <f t="shared" si="9"/>
        <v>36</v>
      </c>
      <c r="C495" s="39" t="s">
        <v>1365</v>
      </c>
      <c r="E495" s="38" t="s">
        <v>1263</v>
      </c>
      <c r="F495" s="275" t="s">
        <v>990</v>
      </c>
      <c r="G495" s="38" t="s">
        <v>943</v>
      </c>
      <c r="H495" s="288"/>
      <c r="I495" s="220" t="s">
        <v>225</v>
      </c>
      <c r="J495" s="220" t="s">
        <v>34</v>
      </c>
    </row>
    <row r="496" spans="1:11" ht="14.25">
      <c r="A496" s="284">
        <v>46268</v>
      </c>
      <c r="B496" s="38">
        <f t="shared" si="9"/>
        <v>36</v>
      </c>
      <c r="C496" s="39" t="s">
        <v>1366</v>
      </c>
      <c r="E496" s="38" t="s">
        <v>1296</v>
      </c>
      <c r="F496" s="311" t="s">
        <v>990</v>
      </c>
      <c r="G496" s="38" t="s">
        <v>943</v>
      </c>
      <c r="H496" s="288"/>
      <c r="I496" s="312" t="s">
        <v>225</v>
      </c>
      <c r="J496" s="220" t="s">
        <v>34</v>
      </c>
    </row>
    <row r="497" spans="1:11" ht="14.25">
      <c r="A497" s="284">
        <v>46268</v>
      </c>
      <c r="B497" s="38">
        <f t="shared" si="9"/>
        <v>36</v>
      </c>
      <c r="C497" s="39" t="s">
        <v>1367</v>
      </c>
      <c r="E497" s="38" t="s">
        <v>1284</v>
      </c>
      <c r="F497" s="259" t="s">
        <v>990</v>
      </c>
      <c r="G497" s="38" t="s">
        <v>943</v>
      </c>
      <c r="H497" s="288"/>
      <c r="I497" s="220" t="s">
        <v>225</v>
      </c>
      <c r="J497" s="220" t="s">
        <v>34</v>
      </c>
    </row>
    <row r="498" spans="1:11" ht="14.25">
      <c r="A498" s="284">
        <v>46268</v>
      </c>
      <c r="B498" s="38">
        <f t="shared" si="9"/>
        <v>36</v>
      </c>
      <c r="C498" s="39" t="s">
        <v>916</v>
      </c>
      <c r="E498" s="38" t="s">
        <v>1278</v>
      </c>
      <c r="F498" s="288" t="s">
        <v>915</v>
      </c>
      <c r="G498" s="38" t="s">
        <v>991</v>
      </c>
      <c r="H498" s="288"/>
      <c r="I498" s="220" t="s">
        <v>225</v>
      </c>
      <c r="J498" s="220"/>
    </row>
    <row r="499" spans="1:11" ht="14.25">
      <c r="A499" s="284">
        <v>46268</v>
      </c>
      <c r="B499" s="38">
        <f t="shared" si="9"/>
        <v>36</v>
      </c>
      <c r="C499" s="39" t="s">
        <v>916</v>
      </c>
      <c r="E499" s="38" t="s">
        <v>1269</v>
      </c>
      <c r="F499" s="288" t="s">
        <v>961</v>
      </c>
      <c r="H499" s="288"/>
      <c r="I499" s="220"/>
      <c r="J499" s="220"/>
    </row>
    <row r="500" spans="1:11" ht="14.25">
      <c r="A500" s="287"/>
      <c r="B500" s="59">
        <f t="shared" si="9"/>
        <v>0</v>
      </c>
      <c r="C500" s="60"/>
      <c r="D500" s="59"/>
      <c r="E500" s="59"/>
      <c r="F500" s="282"/>
      <c r="G500" s="59"/>
      <c r="H500" s="282"/>
      <c r="I500" s="290"/>
      <c r="J500" s="290"/>
      <c r="K500" s="60"/>
    </row>
    <row r="501" spans="1:11" ht="14.25">
      <c r="A501" s="284">
        <v>46270</v>
      </c>
      <c r="B501" s="38">
        <f t="shared" si="9"/>
        <v>36</v>
      </c>
      <c r="C501" s="39" t="s">
        <v>1362</v>
      </c>
      <c r="E501" s="38" t="s">
        <v>1260</v>
      </c>
      <c r="F501" s="259" t="s">
        <v>990</v>
      </c>
      <c r="G501" s="38" t="s">
        <v>943</v>
      </c>
      <c r="H501" s="288"/>
      <c r="I501" s="220" t="s">
        <v>225</v>
      </c>
      <c r="J501" s="220" t="s">
        <v>31</v>
      </c>
    </row>
    <row r="502" spans="1:11" ht="14.25">
      <c r="A502" s="284">
        <v>46270</v>
      </c>
      <c r="B502" s="38">
        <f>WEEKNUM(A501)</f>
        <v>36</v>
      </c>
      <c r="C502" s="39" t="s">
        <v>1379</v>
      </c>
      <c r="E502" s="38" t="s">
        <v>1263</v>
      </c>
      <c r="F502" s="275" t="s">
        <v>990</v>
      </c>
      <c r="G502" s="38" t="s">
        <v>943</v>
      </c>
      <c r="H502" s="288"/>
      <c r="I502" s="220" t="s">
        <v>225</v>
      </c>
      <c r="J502" s="220" t="s">
        <v>31</v>
      </c>
    </row>
    <row r="503" spans="1:11" ht="14.25">
      <c r="A503" s="284">
        <v>46270</v>
      </c>
      <c r="B503" s="38">
        <f t="shared" ref="B503:B517" si="10">WEEKNUM(A503)</f>
        <v>36</v>
      </c>
      <c r="C503" s="39" t="s">
        <v>1380</v>
      </c>
      <c r="E503" s="38" t="s">
        <v>1296</v>
      </c>
      <c r="F503" s="311" t="s">
        <v>990</v>
      </c>
      <c r="G503" s="38" t="s">
        <v>943</v>
      </c>
      <c r="H503" s="288"/>
      <c r="I503" s="220" t="s">
        <v>225</v>
      </c>
      <c r="J503" s="312" t="s">
        <v>31</v>
      </c>
    </row>
    <row r="504" spans="1:11" ht="14.25">
      <c r="A504" s="284">
        <v>46270</v>
      </c>
      <c r="B504" s="38">
        <f t="shared" si="10"/>
        <v>36</v>
      </c>
      <c r="C504" s="39" t="s">
        <v>1381</v>
      </c>
      <c r="E504" s="38" t="s">
        <v>1284</v>
      </c>
      <c r="F504" s="259" t="s">
        <v>990</v>
      </c>
      <c r="G504" s="38" t="s">
        <v>943</v>
      </c>
      <c r="H504" s="288"/>
      <c r="I504" s="220" t="s">
        <v>225</v>
      </c>
      <c r="J504" s="220" t="s">
        <v>31</v>
      </c>
    </row>
    <row r="505" spans="1:11" ht="14.25">
      <c r="A505" s="284">
        <v>46270</v>
      </c>
      <c r="B505" s="38">
        <f t="shared" si="10"/>
        <v>36</v>
      </c>
      <c r="C505" s="39" t="s">
        <v>1382</v>
      </c>
      <c r="E505" s="38" t="s">
        <v>1260</v>
      </c>
      <c r="F505" s="259" t="s">
        <v>990</v>
      </c>
      <c r="G505" s="38" t="s">
        <v>943</v>
      </c>
      <c r="H505" s="288"/>
      <c r="I505" s="220" t="s">
        <v>225</v>
      </c>
      <c r="J505" s="220" t="s">
        <v>31</v>
      </c>
    </row>
    <row r="506" spans="1:11" ht="14.25">
      <c r="A506" s="284">
        <v>46270</v>
      </c>
      <c r="B506" s="38">
        <f t="shared" si="10"/>
        <v>36</v>
      </c>
      <c r="C506" s="39" t="s">
        <v>1383</v>
      </c>
      <c r="E506" s="38" t="s">
        <v>1269</v>
      </c>
      <c r="F506" s="288" t="s">
        <v>961</v>
      </c>
      <c r="H506" s="288"/>
      <c r="I506" s="220"/>
      <c r="J506" s="220"/>
    </row>
    <row r="507" spans="1:11" ht="14.25">
      <c r="A507" s="287"/>
      <c r="B507" s="59">
        <f t="shared" si="10"/>
        <v>0</v>
      </c>
      <c r="C507" s="60"/>
      <c r="D507" s="59"/>
      <c r="E507" s="59"/>
      <c r="F507" s="282"/>
      <c r="G507" s="59"/>
      <c r="H507" s="282"/>
      <c r="I507" s="290"/>
      <c r="J507" s="290"/>
    </row>
    <row r="508" spans="1:11" ht="14.25">
      <c r="A508" s="284">
        <v>46271</v>
      </c>
      <c r="B508" s="38">
        <f t="shared" si="10"/>
        <v>37</v>
      </c>
      <c r="C508" s="39" t="s">
        <v>1384</v>
      </c>
      <c r="E508" s="38" t="s">
        <v>1263</v>
      </c>
      <c r="F508" s="259"/>
      <c r="H508" s="259"/>
      <c r="I508" s="220"/>
      <c r="J508" s="220"/>
    </row>
    <row r="509" spans="1:11" ht="14.25">
      <c r="A509" s="284">
        <v>46271</v>
      </c>
      <c r="B509" s="38">
        <f t="shared" si="10"/>
        <v>37</v>
      </c>
      <c r="C509" s="39" t="s">
        <v>1385</v>
      </c>
      <c r="E509" s="38" t="s">
        <v>1284</v>
      </c>
      <c r="F509" s="259" t="s">
        <v>961</v>
      </c>
      <c r="G509" s="38" t="s">
        <v>916</v>
      </c>
      <c r="H509" s="259"/>
      <c r="I509" s="220"/>
      <c r="J509" s="220"/>
    </row>
    <row r="510" spans="1:11" ht="14.25">
      <c r="A510" s="284">
        <v>46271</v>
      </c>
      <c r="B510" s="38">
        <f t="shared" si="10"/>
        <v>37</v>
      </c>
      <c r="C510" s="39" t="s">
        <v>1386</v>
      </c>
      <c r="E510" s="38" t="s">
        <v>1260</v>
      </c>
      <c r="F510" s="259" t="s">
        <v>990</v>
      </c>
      <c r="G510" s="38" t="s">
        <v>943</v>
      </c>
      <c r="H510" s="288"/>
      <c r="I510" s="220" t="s">
        <v>225</v>
      </c>
      <c r="J510" s="220" t="s">
        <v>31</v>
      </c>
    </row>
    <row r="511" spans="1:11" ht="14.25">
      <c r="A511" s="284">
        <v>46271</v>
      </c>
      <c r="B511" s="38">
        <f t="shared" si="10"/>
        <v>37</v>
      </c>
      <c r="C511" s="39" t="s">
        <v>1387</v>
      </c>
      <c r="E511" s="38" t="s">
        <v>1263</v>
      </c>
      <c r="F511" s="275" t="s">
        <v>990</v>
      </c>
      <c r="G511" s="38" t="s">
        <v>943</v>
      </c>
      <c r="H511" s="288"/>
      <c r="I511" s="220" t="s">
        <v>225</v>
      </c>
      <c r="J511" s="220" t="s">
        <v>31</v>
      </c>
    </row>
    <row r="512" spans="1:11" ht="14.25">
      <c r="A512" s="284">
        <v>46271</v>
      </c>
      <c r="B512" s="38">
        <f t="shared" si="10"/>
        <v>37</v>
      </c>
      <c r="C512" s="39" t="s">
        <v>1388</v>
      </c>
      <c r="E512" s="38" t="s">
        <v>1296</v>
      </c>
      <c r="F512" s="311" t="s">
        <v>990</v>
      </c>
      <c r="G512" s="38" t="s">
        <v>943</v>
      </c>
      <c r="H512" s="288"/>
      <c r="I512" s="220" t="s">
        <v>225</v>
      </c>
      <c r="J512" s="312" t="s">
        <v>31</v>
      </c>
    </row>
    <row r="513" spans="1:10" ht="14.25">
      <c r="A513" s="284">
        <v>46271</v>
      </c>
      <c r="B513" s="38">
        <f t="shared" si="10"/>
        <v>37</v>
      </c>
      <c r="C513" s="39" t="s">
        <v>1388</v>
      </c>
      <c r="E513" s="38" t="s">
        <v>1284</v>
      </c>
      <c r="F513" s="259" t="s">
        <v>990</v>
      </c>
      <c r="G513" s="38" t="s">
        <v>943</v>
      </c>
      <c r="H513" s="288"/>
      <c r="I513" s="220" t="s">
        <v>225</v>
      </c>
      <c r="J513" s="220" t="s">
        <v>31</v>
      </c>
    </row>
    <row r="514" spans="1:10" ht="14.25">
      <c r="A514" s="284">
        <v>46271</v>
      </c>
      <c r="B514" s="38">
        <f t="shared" si="10"/>
        <v>37</v>
      </c>
      <c r="C514" s="39" t="s">
        <v>1388</v>
      </c>
      <c r="E514" s="38" t="s">
        <v>1260</v>
      </c>
      <c r="F514" s="259" t="s">
        <v>990</v>
      </c>
      <c r="G514" s="38" t="s">
        <v>943</v>
      </c>
      <c r="H514" s="288"/>
      <c r="I514" s="220" t="s">
        <v>225</v>
      </c>
      <c r="J514" s="220" t="s">
        <v>31</v>
      </c>
    </row>
    <row r="515" spans="1:10" ht="14.25">
      <c r="A515" s="284">
        <v>46271</v>
      </c>
      <c r="B515" s="38">
        <f t="shared" si="10"/>
        <v>37</v>
      </c>
      <c r="C515" s="39" t="s">
        <v>1388</v>
      </c>
      <c r="E515" s="38" t="s">
        <v>1269</v>
      </c>
      <c r="F515" s="288" t="s">
        <v>961</v>
      </c>
      <c r="H515" s="288"/>
      <c r="I515" s="220"/>
      <c r="J515" s="220"/>
    </row>
    <row r="516" spans="1:10" ht="14.25">
      <c r="A516" s="287"/>
      <c r="B516" s="59">
        <f t="shared" si="10"/>
        <v>0</v>
      </c>
      <c r="C516" s="60"/>
      <c r="D516" s="59"/>
      <c r="E516" s="59"/>
      <c r="F516" s="282"/>
      <c r="G516" s="59"/>
      <c r="H516" s="282"/>
      <c r="I516" s="290"/>
      <c r="J516" s="290"/>
    </row>
    <row r="517" spans="1:10" ht="15">
      <c r="A517" s="284">
        <v>46272</v>
      </c>
      <c r="B517" s="38">
        <f t="shared" si="10"/>
        <v>37</v>
      </c>
      <c r="C517" s="346" t="s">
        <v>1389</v>
      </c>
      <c r="E517" s="38" t="s">
        <v>1260</v>
      </c>
      <c r="F517" s="259" t="s">
        <v>990</v>
      </c>
      <c r="G517" s="38" t="s">
        <v>943</v>
      </c>
      <c r="H517" s="288"/>
      <c r="I517" s="220" t="s">
        <v>225</v>
      </c>
      <c r="J517" s="220" t="s">
        <v>34</v>
      </c>
    </row>
    <row r="518" spans="1:10" ht="15">
      <c r="A518" s="284">
        <v>46272</v>
      </c>
      <c r="B518" s="38">
        <f t="shared" ref="B518:B524" si="11">WEEKNUM(A518)</f>
        <v>37</v>
      </c>
      <c r="C518" s="347" t="s">
        <v>1390</v>
      </c>
      <c r="E518" s="38" t="s">
        <v>1263</v>
      </c>
      <c r="F518" s="275" t="s">
        <v>990</v>
      </c>
      <c r="G518" s="38" t="s">
        <v>943</v>
      </c>
      <c r="H518" s="288"/>
      <c r="I518" s="220" t="s">
        <v>225</v>
      </c>
      <c r="J518" s="220" t="s">
        <v>34</v>
      </c>
    </row>
    <row r="519" spans="1:10" ht="15">
      <c r="A519" s="284">
        <v>46272</v>
      </c>
      <c r="B519" s="38">
        <f t="shared" si="11"/>
        <v>37</v>
      </c>
      <c r="C519" s="346" t="s">
        <v>1391</v>
      </c>
      <c r="E519" s="38" t="s">
        <v>1296</v>
      </c>
      <c r="F519" s="275" t="s">
        <v>990</v>
      </c>
      <c r="H519" s="288"/>
      <c r="I519" s="220"/>
      <c r="J519" s="220" t="s">
        <v>34</v>
      </c>
    </row>
    <row r="520" spans="1:10" ht="15">
      <c r="A520" s="284">
        <v>46272</v>
      </c>
      <c r="B520" s="38">
        <f t="shared" si="11"/>
        <v>37</v>
      </c>
      <c r="C520" s="347" t="s">
        <v>1392</v>
      </c>
      <c r="E520" s="38" t="s">
        <v>1284</v>
      </c>
      <c r="F520" s="275" t="s">
        <v>990</v>
      </c>
      <c r="H520" s="288"/>
      <c r="I520" s="220"/>
      <c r="J520" s="220" t="s">
        <v>34</v>
      </c>
    </row>
    <row r="521" spans="1:10" ht="15">
      <c r="A521" s="284">
        <v>46272</v>
      </c>
      <c r="B521" s="38">
        <f t="shared" si="11"/>
        <v>37</v>
      </c>
      <c r="C521" s="346" t="s">
        <v>1393</v>
      </c>
      <c r="E521" s="38" t="s">
        <v>1266</v>
      </c>
      <c r="F521" s="275" t="s">
        <v>990</v>
      </c>
      <c r="H521" s="288"/>
      <c r="I521" s="220"/>
      <c r="J521" s="220" t="s">
        <v>34</v>
      </c>
    </row>
    <row r="522" spans="1:10" ht="15">
      <c r="A522" s="284">
        <v>46272</v>
      </c>
      <c r="B522" s="38">
        <f t="shared" si="11"/>
        <v>37</v>
      </c>
      <c r="C522" s="347" t="s">
        <v>1394</v>
      </c>
      <c r="E522" s="38" t="s">
        <v>1280</v>
      </c>
      <c r="F522" s="275" t="s">
        <v>990</v>
      </c>
      <c r="H522" s="288"/>
      <c r="I522" s="220"/>
      <c r="J522" s="220" t="s">
        <v>34</v>
      </c>
    </row>
    <row r="523" spans="1:10" ht="15">
      <c r="A523" s="284">
        <v>46272</v>
      </c>
      <c r="B523" s="38">
        <f t="shared" si="11"/>
        <v>37</v>
      </c>
      <c r="C523" s="346" t="s">
        <v>1395</v>
      </c>
      <c r="E523" s="38" t="s">
        <v>1280</v>
      </c>
      <c r="F523" s="275" t="s">
        <v>990</v>
      </c>
      <c r="H523" s="288"/>
      <c r="I523" s="220"/>
      <c r="J523" s="220" t="s">
        <v>34</v>
      </c>
    </row>
    <row r="524" spans="1:10" ht="15">
      <c r="A524" s="284">
        <v>46272</v>
      </c>
      <c r="B524" s="38">
        <f t="shared" si="11"/>
        <v>37</v>
      </c>
      <c r="C524" s="347" t="s">
        <v>1396</v>
      </c>
      <c r="E524" s="38" t="s">
        <v>1269</v>
      </c>
      <c r="F524" s="275" t="s">
        <v>990</v>
      </c>
      <c r="H524" s="288"/>
      <c r="I524" s="220"/>
      <c r="J524" s="220" t="s">
        <v>34</v>
      </c>
    </row>
    <row r="525" spans="1:10" ht="14.25">
      <c r="A525" s="287"/>
      <c r="B525" s="59">
        <f t="shared" ref="B525:B547" si="12">WEEKNUM(A525)</f>
        <v>0</v>
      </c>
      <c r="C525" s="60"/>
      <c r="D525" s="59"/>
      <c r="E525" s="59"/>
      <c r="F525" s="282"/>
      <c r="G525" s="59"/>
      <c r="H525" s="282"/>
      <c r="I525" s="290"/>
      <c r="J525" s="290"/>
    </row>
    <row r="526" spans="1:10" ht="14.25">
      <c r="A526" s="284">
        <v>46273</v>
      </c>
      <c r="B526" s="38">
        <f t="shared" si="12"/>
        <v>37</v>
      </c>
      <c r="C526" s="39" t="s">
        <v>1364</v>
      </c>
      <c r="E526" s="38" t="s">
        <v>1260</v>
      </c>
      <c r="F526" s="259" t="s">
        <v>990</v>
      </c>
      <c r="G526" s="38" t="s">
        <v>943</v>
      </c>
      <c r="H526" s="288"/>
      <c r="I526" s="220" t="s">
        <v>225</v>
      </c>
      <c r="J526" s="220" t="s">
        <v>31</v>
      </c>
    </row>
    <row r="527" spans="1:10" ht="14.25">
      <c r="A527" s="284">
        <v>46273</v>
      </c>
      <c r="B527" s="38">
        <f t="shared" si="12"/>
        <v>37</v>
      </c>
      <c r="C527" s="39" t="s">
        <v>1365</v>
      </c>
      <c r="E527" s="38" t="s">
        <v>1263</v>
      </c>
      <c r="F527" s="275" t="s">
        <v>990</v>
      </c>
      <c r="G527" s="38" t="s">
        <v>943</v>
      </c>
      <c r="H527" s="288"/>
      <c r="I527" s="220" t="s">
        <v>225</v>
      </c>
      <c r="J527" s="220" t="s">
        <v>31</v>
      </c>
    </row>
    <row r="528" spans="1:10" ht="14.25">
      <c r="A528" s="284">
        <v>46273</v>
      </c>
      <c r="B528" s="38">
        <f t="shared" si="12"/>
        <v>37</v>
      </c>
      <c r="C528" s="39" t="s">
        <v>1366</v>
      </c>
      <c r="E528" s="38" t="s">
        <v>1296</v>
      </c>
      <c r="F528" s="311" t="s">
        <v>990</v>
      </c>
      <c r="G528" s="38" t="s">
        <v>943</v>
      </c>
      <c r="H528" s="288"/>
      <c r="I528" s="220" t="s">
        <v>225</v>
      </c>
      <c r="J528" s="312" t="s">
        <v>31</v>
      </c>
    </row>
    <row r="529" spans="1:10" ht="14.25">
      <c r="A529" s="284">
        <v>46273</v>
      </c>
      <c r="B529" s="38">
        <f t="shared" si="12"/>
        <v>37</v>
      </c>
      <c r="C529" s="39" t="s">
        <v>1367</v>
      </c>
      <c r="E529" s="38" t="s">
        <v>1284</v>
      </c>
      <c r="F529" s="259" t="s">
        <v>990</v>
      </c>
      <c r="G529" s="38" t="s">
        <v>943</v>
      </c>
      <c r="H529" s="288"/>
      <c r="I529" s="220" t="s">
        <v>225</v>
      </c>
      <c r="J529" s="220" t="s">
        <v>31</v>
      </c>
    </row>
    <row r="530" spans="1:10" ht="14.25">
      <c r="A530" s="284">
        <v>46273</v>
      </c>
      <c r="B530" s="38">
        <f t="shared" si="12"/>
        <v>37</v>
      </c>
      <c r="C530" s="39" t="s">
        <v>916</v>
      </c>
      <c r="E530" s="38" t="s">
        <v>1278</v>
      </c>
      <c r="F530" s="288" t="s">
        <v>915</v>
      </c>
      <c r="G530" s="38" t="s">
        <v>991</v>
      </c>
      <c r="H530" s="288"/>
      <c r="I530" s="220" t="s">
        <v>225</v>
      </c>
      <c r="J530" s="220"/>
    </row>
    <row r="531" spans="1:10" ht="14.25">
      <c r="A531" s="284">
        <v>46273</v>
      </c>
      <c r="B531" s="38">
        <f t="shared" si="12"/>
        <v>37</v>
      </c>
      <c r="C531" s="39" t="s">
        <v>916</v>
      </c>
      <c r="E531" s="38" t="s">
        <v>1269</v>
      </c>
      <c r="F531" s="288" t="s">
        <v>961</v>
      </c>
      <c r="H531" s="288"/>
      <c r="I531" s="220"/>
      <c r="J531" s="220"/>
    </row>
    <row r="532" spans="1:10" ht="14.25">
      <c r="A532" s="287"/>
      <c r="B532" s="59">
        <f t="shared" si="12"/>
        <v>0</v>
      </c>
      <c r="C532" s="60"/>
      <c r="D532" s="59"/>
      <c r="E532" s="59"/>
      <c r="F532" s="282"/>
      <c r="G532" s="59"/>
      <c r="H532" s="282"/>
      <c r="I532" s="290"/>
      <c r="J532" s="290"/>
    </row>
    <row r="533" spans="1:10" ht="14.25">
      <c r="A533" s="284">
        <v>46274</v>
      </c>
      <c r="B533" s="38">
        <f t="shared" si="12"/>
        <v>37</v>
      </c>
      <c r="C533" s="39" t="s">
        <v>1361</v>
      </c>
      <c r="E533" s="38" t="s">
        <v>1260</v>
      </c>
      <c r="F533" s="259" t="s">
        <v>961</v>
      </c>
      <c r="G533" s="38" t="s">
        <v>916</v>
      </c>
      <c r="H533" s="288"/>
      <c r="I533" s="220" t="s">
        <v>225</v>
      </c>
      <c r="J533" s="220" t="s">
        <v>34</v>
      </c>
    </row>
    <row r="534" spans="1:10" ht="14.25">
      <c r="A534" s="284">
        <v>46274</v>
      </c>
      <c r="B534" s="38">
        <f t="shared" si="12"/>
        <v>37</v>
      </c>
      <c r="C534" s="39" t="s">
        <v>1362</v>
      </c>
      <c r="E534" s="38" t="s">
        <v>1263</v>
      </c>
      <c r="F534" s="275" t="s">
        <v>961</v>
      </c>
      <c r="G534" s="38" t="s">
        <v>916</v>
      </c>
      <c r="H534" s="288"/>
      <c r="I534" s="220" t="s">
        <v>225</v>
      </c>
      <c r="J534" s="220" t="s">
        <v>34</v>
      </c>
    </row>
    <row r="535" spans="1:10" ht="14.25">
      <c r="A535" s="284">
        <v>46274</v>
      </c>
      <c r="B535" s="38">
        <f t="shared" si="12"/>
        <v>37</v>
      </c>
      <c r="C535" s="39" t="s">
        <v>1363</v>
      </c>
      <c r="E535" s="38" t="s">
        <v>1296</v>
      </c>
      <c r="F535" s="311" t="s">
        <v>961</v>
      </c>
      <c r="G535" s="38" t="s">
        <v>916</v>
      </c>
      <c r="H535" s="288"/>
      <c r="I535" s="220" t="s">
        <v>225</v>
      </c>
      <c r="J535" s="220" t="s">
        <v>34</v>
      </c>
    </row>
    <row r="536" spans="1:10" ht="14.25">
      <c r="A536" s="284">
        <v>46274</v>
      </c>
      <c r="B536" s="38">
        <f t="shared" si="12"/>
        <v>37</v>
      </c>
      <c r="C536" s="39" t="s">
        <v>1262</v>
      </c>
      <c r="E536" s="38" t="s">
        <v>1284</v>
      </c>
      <c r="F536" s="259" t="s">
        <v>915</v>
      </c>
      <c r="G536" s="38" t="s">
        <v>1264</v>
      </c>
      <c r="H536" s="288"/>
      <c r="I536" s="220" t="s">
        <v>225</v>
      </c>
      <c r="J536" s="220" t="s">
        <v>34</v>
      </c>
    </row>
    <row r="537" spans="1:10" ht="14.25">
      <c r="A537" s="284">
        <v>46274</v>
      </c>
      <c r="B537" s="38">
        <f t="shared" si="12"/>
        <v>37</v>
      </c>
      <c r="C537" s="39" t="s">
        <v>916</v>
      </c>
      <c r="E537" s="38" t="s">
        <v>1278</v>
      </c>
      <c r="F537" s="288" t="s">
        <v>915</v>
      </c>
      <c r="G537" s="38" t="s">
        <v>991</v>
      </c>
      <c r="H537" s="288"/>
      <c r="I537" s="220" t="s">
        <v>225</v>
      </c>
      <c r="J537" s="220"/>
    </row>
    <row r="538" spans="1:10" ht="14.25">
      <c r="A538" s="284">
        <v>46274</v>
      </c>
      <c r="B538" s="38">
        <f t="shared" si="12"/>
        <v>37</v>
      </c>
      <c r="C538" s="39" t="s">
        <v>916</v>
      </c>
      <c r="E538" s="38" t="s">
        <v>1269</v>
      </c>
      <c r="F538" s="288" t="s">
        <v>961</v>
      </c>
      <c r="H538" s="288"/>
      <c r="I538" s="220"/>
      <c r="J538" s="220"/>
    </row>
    <row r="539" spans="1:10" ht="14.25">
      <c r="A539" s="287"/>
      <c r="B539" s="59">
        <f t="shared" si="12"/>
        <v>0</v>
      </c>
      <c r="C539" s="60"/>
      <c r="D539" s="59"/>
      <c r="E539" s="59"/>
      <c r="F539" s="282"/>
      <c r="G539" s="59"/>
      <c r="H539" s="282"/>
      <c r="I539" s="290"/>
      <c r="J539" s="290"/>
    </row>
    <row r="540" spans="1:10" ht="25.5">
      <c r="A540" s="284">
        <v>46275</v>
      </c>
      <c r="B540" s="38">
        <f t="shared" si="12"/>
        <v>37</v>
      </c>
      <c r="C540" s="39" t="s">
        <v>1397</v>
      </c>
      <c r="E540" s="38" t="s">
        <v>1260</v>
      </c>
      <c r="F540" s="259" t="s">
        <v>990</v>
      </c>
      <c r="G540" s="38" t="s">
        <v>943</v>
      </c>
      <c r="H540" s="288"/>
      <c r="I540" s="220" t="s">
        <v>225</v>
      </c>
      <c r="J540" s="220" t="s">
        <v>34</v>
      </c>
    </row>
    <row r="541" spans="1:10" ht="25.5">
      <c r="A541" s="284">
        <v>46275</v>
      </c>
      <c r="B541" s="38">
        <f t="shared" si="12"/>
        <v>37</v>
      </c>
      <c r="C541" s="39" t="s">
        <v>1397</v>
      </c>
      <c r="E541" s="38" t="s">
        <v>1263</v>
      </c>
      <c r="F541" s="275" t="s">
        <v>990</v>
      </c>
      <c r="G541" s="38" t="s">
        <v>943</v>
      </c>
      <c r="H541" s="288"/>
      <c r="I541" s="220" t="s">
        <v>225</v>
      </c>
      <c r="J541" s="220" t="s">
        <v>34</v>
      </c>
    </row>
    <row r="542" spans="1:10" ht="25.5">
      <c r="A542" s="284">
        <v>46275</v>
      </c>
      <c r="B542" s="38">
        <f t="shared" si="12"/>
        <v>37</v>
      </c>
      <c r="C542" s="39" t="s">
        <v>1397</v>
      </c>
      <c r="E542" s="38" t="s">
        <v>1296</v>
      </c>
      <c r="F542" s="311" t="s">
        <v>990</v>
      </c>
      <c r="G542" s="38" t="s">
        <v>943</v>
      </c>
      <c r="H542" s="288"/>
      <c r="I542" s="312" t="s">
        <v>225</v>
      </c>
      <c r="J542" s="220" t="s">
        <v>34</v>
      </c>
    </row>
    <row r="543" spans="1:10" ht="25.5">
      <c r="A543" s="284">
        <v>46275</v>
      </c>
      <c r="B543" s="38">
        <f t="shared" si="12"/>
        <v>37</v>
      </c>
      <c r="C543" s="39" t="s">
        <v>1397</v>
      </c>
      <c r="E543" s="38" t="s">
        <v>1284</v>
      </c>
      <c r="F543" s="259" t="s">
        <v>990</v>
      </c>
      <c r="G543" s="38" t="s">
        <v>943</v>
      </c>
      <c r="H543" s="288"/>
      <c r="I543" s="220" t="s">
        <v>225</v>
      </c>
      <c r="J543" s="220" t="s">
        <v>34</v>
      </c>
    </row>
    <row r="544" spans="1:10" ht="25.5">
      <c r="A544" s="284">
        <v>46275</v>
      </c>
      <c r="B544" s="38">
        <f t="shared" si="12"/>
        <v>37</v>
      </c>
      <c r="C544" s="39" t="s">
        <v>1397</v>
      </c>
      <c r="E544" s="38" t="s">
        <v>1278</v>
      </c>
      <c r="F544" s="288" t="s">
        <v>915</v>
      </c>
      <c r="G544" s="38" t="s">
        <v>991</v>
      </c>
      <c r="H544" s="288"/>
      <c r="I544" s="220" t="s">
        <v>225</v>
      </c>
      <c r="J544" s="220"/>
    </row>
    <row r="545" spans="1:11" ht="25.5">
      <c r="A545" s="284">
        <v>46275</v>
      </c>
      <c r="B545" s="38">
        <f t="shared" si="12"/>
        <v>37</v>
      </c>
      <c r="C545" s="39" t="s">
        <v>1397</v>
      </c>
      <c r="E545" s="38" t="s">
        <v>1269</v>
      </c>
      <c r="F545" s="288" t="s">
        <v>961</v>
      </c>
      <c r="H545" s="288"/>
      <c r="I545" s="220"/>
      <c r="J545" s="220"/>
    </row>
    <row r="546" spans="1:11" ht="14.25">
      <c r="A546" s="287"/>
      <c r="B546" s="59">
        <f t="shared" si="12"/>
        <v>0</v>
      </c>
      <c r="C546" s="60"/>
      <c r="D546" s="59"/>
      <c r="E546" s="59"/>
      <c r="F546" s="282"/>
      <c r="G546" s="59"/>
      <c r="H546" s="282"/>
      <c r="I546" s="290"/>
      <c r="J546" s="290"/>
      <c r="K546" s="60"/>
    </row>
    <row r="547" spans="1:11" ht="14.25">
      <c r="A547" s="284"/>
      <c r="B547" s="38">
        <f t="shared" si="12"/>
        <v>0</v>
      </c>
      <c r="C547" s="39" t="s">
        <v>1362</v>
      </c>
      <c r="E547" s="38" t="s">
        <v>1260</v>
      </c>
      <c r="F547" s="259" t="s">
        <v>990</v>
      </c>
      <c r="G547" s="38" t="s">
        <v>943</v>
      </c>
      <c r="H547" s="288"/>
      <c r="I547" s="220" t="s">
        <v>225</v>
      </c>
      <c r="J547" s="220" t="s">
        <v>31</v>
      </c>
    </row>
    <row r="548" spans="1:11" ht="14.25">
      <c r="A548" s="284"/>
      <c r="B548" s="38">
        <f>WEEKNUM(A547)</f>
        <v>0</v>
      </c>
      <c r="C548" s="39" t="s">
        <v>1379</v>
      </c>
      <c r="E548" s="38" t="s">
        <v>1263</v>
      </c>
      <c r="F548" s="275" t="s">
        <v>990</v>
      </c>
      <c r="G548" s="38" t="s">
        <v>943</v>
      </c>
      <c r="H548" s="288"/>
      <c r="I548" s="220" t="s">
        <v>225</v>
      </c>
      <c r="J548" s="220" t="s">
        <v>31</v>
      </c>
    </row>
    <row r="549" spans="1:11" ht="14.25">
      <c r="A549" s="284"/>
      <c r="B549" s="38">
        <f t="shared" ref="B549:B562" si="13">WEEKNUM(A549)</f>
        <v>0</v>
      </c>
      <c r="C549" s="39" t="s">
        <v>1398</v>
      </c>
      <c r="E549" s="38" t="s">
        <v>1296</v>
      </c>
      <c r="F549" s="311" t="s">
        <v>990</v>
      </c>
      <c r="G549" s="38" t="s">
        <v>943</v>
      </c>
      <c r="H549" s="288"/>
      <c r="I549" s="220" t="s">
        <v>225</v>
      </c>
      <c r="J549" s="312" t="s">
        <v>31</v>
      </c>
    </row>
    <row r="550" spans="1:11" ht="14.25">
      <c r="A550" s="284"/>
      <c r="B550" s="38">
        <f t="shared" si="13"/>
        <v>0</v>
      </c>
      <c r="C550" s="39" t="s">
        <v>1399</v>
      </c>
      <c r="E550" s="38" t="s">
        <v>1284</v>
      </c>
      <c r="F550" s="259" t="s">
        <v>990</v>
      </c>
      <c r="G550" s="38" t="s">
        <v>943</v>
      </c>
      <c r="H550" s="288"/>
      <c r="I550" s="220" t="s">
        <v>225</v>
      </c>
      <c r="J550" s="220" t="s">
        <v>31</v>
      </c>
      <c r="K550" s="39" t="s">
        <v>1400</v>
      </c>
    </row>
    <row r="551" spans="1:11" ht="14.25">
      <c r="A551" s="284"/>
      <c r="B551" s="38">
        <f t="shared" si="13"/>
        <v>0</v>
      </c>
      <c r="C551" s="39" t="s">
        <v>1401</v>
      </c>
      <c r="E551" s="38" t="s">
        <v>1260</v>
      </c>
      <c r="F551" s="259" t="s">
        <v>990</v>
      </c>
      <c r="G551" s="38" t="s">
        <v>943</v>
      </c>
      <c r="H551" s="288"/>
      <c r="I551" s="220" t="s">
        <v>225</v>
      </c>
      <c r="J551" s="220" t="s">
        <v>31</v>
      </c>
    </row>
    <row r="552" spans="1:11" ht="14.25">
      <c r="A552" s="284"/>
      <c r="B552" s="38">
        <f t="shared" si="13"/>
        <v>0</v>
      </c>
      <c r="E552" s="38" t="s">
        <v>1269</v>
      </c>
      <c r="F552" s="288" t="s">
        <v>961</v>
      </c>
      <c r="H552" s="288"/>
      <c r="I552" s="220"/>
      <c r="J552" s="220"/>
    </row>
    <row r="553" spans="1:11" ht="14.25">
      <c r="A553" s="287"/>
      <c r="B553" s="59">
        <f t="shared" si="13"/>
        <v>0</v>
      </c>
      <c r="C553" s="60"/>
      <c r="D553" s="59"/>
      <c r="E553" s="59"/>
      <c r="F553" s="282"/>
      <c r="G553" s="59"/>
      <c r="H553" s="282"/>
      <c r="I553" s="290"/>
      <c r="J553" s="290"/>
    </row>
    <row r="554" spans="1:11" ht="14.25">
      <c r="A554" s="284"/>
      <c r="B554" s="38">
        <f t="shared" si="13"/>
        <v>0</v>
      </c>
      <c r="C554" s="39" t="s">
        <v>1385</v>
      </c>
      <c r="E554" s="38" t="s">
        <v>1284</v>
      </c>
      <c r="F554" s="259" t="s">
        <v>961</v>
      </c>
      <c r="G554" s="38" t="s">
        <v>916</v>
      </c>
      <c r="H554" s="259"/>
      <c r="I554" s="220"/>
      <c r="J554" s="220"/>
    </row>
    <row r="555" spans="1:11" ht="14.25">
      <c r="A555" s="284"/>
      <c r="B555" s="38">
        <f t="shared" si="13"/>
        <v>0</v>
      </c>
      <c r="C555" s="39" t="s">
        <v>1402</v>
      </c>
      <c r="E555" s="38" t="s">
        <v>1260</v>
      </c>
      <c r="F555" s="259" t="s">
        <v>990</v>
      </c>
      <c r="G555" s="38" t="s">
        <v>943</v>
      </c>
      <c r="H555" s="288"/>
      <c r="I555" s="220" t="s">
        <v>225</v>
      </c>
      <c r="J555" s="220" t="s">
        <v>31</v>
      </c>
    </row>
    <row r="556" spans="1:11" ht="14.25">
      <c r="A556" s="284"/>
      <c r="B556" s="38">
        <f t="shared" si="13"/>
        <v>0</v>
      </c>
      <c r="C556" s="39" t="s">
        <v>1403</v>
      </c>
      <c r="E556" s="38" t="s">
        <v>1263</v>
      </c>
      <c r="F556" s="275" t="s">
        <v>990</v>
      </c>
      <c r="G556" s="38" t="s">
        <v>943</v>
      </c>
      <c r="H556" s="288"/>
      <c r="I556" s="220" t="s">
        <v>225</v>
      </c>
      <c r="J556" s="220" t="s">
        <v>31</v>
      </c>
    </row>
    <row r="557" spans="1:11" ht="14.25">
      <c r="A557" s="284"/>
      <c r="B557" s="38">
        <f t="shared" si="13"/>
        <v>0</v>
      </c>
      <c r="C557" s="39" t="s">
        <v>1404</v>
      </c>
      <c r="E557" s="38" t="s">
        <v>1296</v>
      </c>
      <c r="F557" s="311" t="s">
        <v>990</v>
      </c>
      <c r="G557" s="38" t="s">
        <v>943</v>
      </c>
      <c r="H557" s="288"/>
      <c r="I557" s="220" t="s">
        <v>225</v>
      </c>
      <c r="J557" s="312" t="s">
        <v>31</v>
      </c>
    </row>
    <row r="558" spans="1:11" ht="14.25">
      <c r="A558" s="284"/>
      <c r="B558" s="38">
        <f t="shared" si="13"/>
        <v>0</v>
      </c>
      <c r="C558" s="39" t="s">
        <v>1405</v>
      </c>
      <c r="E558" s="38" t="s">
        <v>1284</v>
      </c>
      <c r="F558" s="259" t="s">
        <v>990</v>
      </c>
      <c r="G558" s="38" t="s">
        <v>943</v>
      </c>
      <c r="H558" s="288"/>
      <c r="I558" s="220" t="s">
        <v>225</v>
      </c>
      <c r="J558" s="220" t="s">
        <v>31</v>
      </c>
    </row>
    <row r="559" spans="1:11" ht="14.25">
      <c r="A559" s="284"/>
      <c r="B559" s="38">
        <f t="shared" si="13"/>
        <v>0</v>
      </c>
      <c r="C559" s="39" t="s">
        <v>1406</v>
      </c>
      <c r="E559" s="38" t="s">
        <v>1260</v>
      </c>
      <c r="F559" s="259" t="s">
        <v>990</v>
      </c>
      <c r="G559" s="38" t="s">
        <v>943</v>
      </c>
      <c r="H559" s="288"/>
      <c r="I559" s="220" t="s">
        <v>225</v>
      </c>
      <c r="J559" s="220" t="s">
        <v>31</v>
      </c>
    </row>
    <row r="560" spans="1:11" ht="14.25">
      <c r="A560" s="284"/>
      <c r="B560" s="38">
        <f t="shared" si="13"/>
        <v>0</v>
      </c>
      <c r="E560" s="38" t="s">
        <v>1269</v>
      </c>
      <c r="F560" s="288" t="s">
        <v>961</v>
      </c>
      <c r="H560" s="288"/>
      <c r="I560" s="220"/>
      <c r="J560" s="220"/>
    </row>
    <row r="561" spans="1:10" ht="14.25">
      <c r="A561" s="287"/>
      <c r="B561" s="59">
        <f t="shared" si="13"/>
        <v>0</v>
      </c>
      <c r="C561" s="60"/>
      <c r="D561" s="59"/>
      <c r="E561" s="59"/>
      <c r="F561" s="282"/>
      <c r="G561" s="59"/>
      <c r="H561" s="282"/>
      <c r="I561" s="290"/>
      <c r="J561" s="290"/>
    </row>
    <row r="562" spans="1:10" ht="15">
      <c r="A562" s="284"/>
      <c r="B562" s="38">
        <f t="shared" si="13"/>
        <v>0</v>
      </c>
      <c r="C562" s="350" t="s">
        <v>1407</v>
      </c>
      <c r="E562" s="38" t="s">
        <v>1260</v>
      </c>
      <c r="F562" s="259" t="s">
        <v>990</v>
      </c>
      <c r="G562" s="38" t="s">
        <v>943</v>
      </c>
      <c r="H562" s="288"/>
      <c r="I562" s="220" t="s">
        <v>225</v>
      </c>
      <c r="J562" s="220" t="s">
        <v>34</v>
      </c>
    </row>
    <row r="563" spans="1:10" ht="15">
      <c r="A563" s="284"/>
      <c r="B563" s="38">
        <f t="shared" ref="B563:B567" si="14">WEEKNUM(A563)</f>
        <v>0</v>
      </c>
      <c r="C563" s="351" t="s">
        <v>1408</v>
      </c>
      <c r="E563" s="38" t="s">
        <v>1263</v>
      </c>
      <c r="F563" s="275" t="s">
        <v>990</v>
      </c>
      <c r="G563" s="38" t="s">
        <v>943</v>
      </c>
      <c r="H563" s="288"/>
      <c r="I563" s="220" t="s">
        <v>225</v>
      </c>
      <c r="J563" s="220" t="s">
        <v>34</v>
      </c>
    </row>
    <row r="564" spans="1:10" ht="15">
      <c r="A564" s="284"/>
      <c r="B564" s="38">
        <f t="shared" si="14"/>
        <v>0</v>
      </c>
      <c r="C564" s="350" t="s">
        <v>1409</v>
      </c>
      <c r="E564" s="38" t="s">
        <v>1296</v>
      </c>
      <c r="F564" s="275" t="s">
        <v>990</v>
      </c>
      <c r="H564" s="288"/>
      <c r="I564" s="220"/>
      <c r="J564" s="220" t="s">
        <v>34</v>
      </c>
    </row>
    <row r="565" spans="1:10" ht="15">
      <c r="A565" s="284"/>
      <c r="B565" s="38">
        <f t="shared" si="14"/>
        <v>0</v>
      </c>
      <c r="C565" s="351" t="s">
        <v>1410</v>
      </c>
      <c r="E565" s="38" t="s">
        <v>1284</v>
      </c>
      <c r="F565" s="275" t="s">
        <v>990</v>
      </c>
      <c r="H565" s="288"/>
      <c r="I565" s="220"/>
      <c r="J565" s="220" t="s">
        <v>34</v>
      </c>
    </row>
    <row r="566" spans="1:10" ht="15">
      <c r="A566" s="284"/>
      <c r="B566" s="38">
        <f t="shared" si="14"/>
        <v>0</v>
      </c>
      <c r="C566" s="350" t="s">
        <v>1411</v>
      </c>
      <c r="E566" s="38" t="s">
        <v>1280</v>
      </c>
      <c r="F566" s="275" t="s">
        <v>990</v>
      </c>
      <c r="H566" s="288"/>
      <c r="I566" s="220"/>
      <c r="J566" s="220" t="s">
        <v>34</v>
      </c>
    </row>
    <row r="567" spans="1:10" ht="15">
      <c r="A567" s="284"/>
      <c r="B567" s="38">
        <f t="shared" si="14"/>
        <v>0</v>
      </c>
      <c r="C567" s="351" t="s">
        <v>1412</v>
      </c>
      <c r="E567" s="38" t="s">
        <v>1269</v>
      </c>
      <c r="F567" s="275" t="s">
        <v>990</v>
      </c>
      <c r="H567" s="288"/>
      <c r="I567" s="220"/>
      <c r="J567" s="220" t="s">
        <v>34</v>
      </c>
    </row>
    <row r="568" spans="1:10" ht="14.25">
      <c r="A568" s="287"/>
      <c r="B568" s="59">
        <f t="shared" ref="B568:B631" si="15">WEEKNUM(A568)</f>
        <v>0</v>
      </c>
      <c r="C568" s="60"/>
      <c r="D568" s="59"/>
      <c r="E568" s="59"/>
      <c r="F568" s="282"/>
      <c r="G568" s="59"/>
      <c r="H568" s="282"/>
      <c r="I568" s="290"/>
      <c r="J568" s="290"/>
    </row>
    <row r="569" spans="1:10" ht="14.25">
      <c r="A569" s="284"/>
      <c r="B569" s="38">
        <f t="shared" si="15"/>
        <v>0</v>
      </c>
      <c r="C569" s="39" t="s">
        <v>1413</v>
      </c>
      <c r="E569" s="38" t="s">
        <v>1260</v>
      </c>
      <c r="F569" s="259" t="s">
        <v>990</v>
      </c>
      <c r="G569" s="38" t="s">
        <v>943</v>
      </c>
      <c r="H569" s="288"/>
      <c r="I569" s="220" t="s">
        <v>225</v>
      </c>
      <c r="J569" s="220" t="s">
        <v>31</v>
      </c>
    </row>
    <row r="570" spans="1:10" ht="14.25">
      <c r="A570" s="284"/>
      <c r="B570" s="38">
        <f t="shared" si="15"/>
        <v>0</v>
      </c>
      <c r="C570" s="39" t="s">
        <v>1414</v>
      </c>
      <c r="E570" s="38" t="s">
        <v>1263</v>
      </c>
      <c r="F570" s="275" t="s">
        <v>990</v>
      </c>
      <c r="G570" s="38" t="s">
        <v>943</v>
      </c>
      <c r="H570" s="288"/>
      <c r="I570" s="220" t="s">
        <v>225</v>
      </c>
      <c r="J570" s="220" t="s">
        <v>31</v>
      </c>
    </row>
    <row r="571" spans="1:10" ht="14.25">
      <c r="A571" s="284"/>
      <c r="B571" s="38">
        <f t="shared" si="15"/>
        <v>0</v>
      </c>
      <c r="C571" s="39" t="s">
        <v>904</v>
      </c>
      <c r="E571" s="38" t="s">
        <v>1296</v>
      </c>
      <c r="F571" s="311" t="s">
        <v>990</v>
      </c>
      <c r="G571" s="38" t="s">
        <v>943</v>
      </c>
      <c r="H571" s="288"/>
      <c r="I571" s="220" t="s">
        <v>225</v>
      </c>
      <c r="J571" s="312" t="s">
        <v>31</v>
      </c>
    </row>
    <row r="572" spans="1:10" ht="14.25">
      <c r="A572" s="284"/>
      <c r="B572" s="38">
        <f t="shared" si="15"/>
        <v>0</v>
      </c>
      <c r="E572" s="38" t="s">
        <v>1284</v>
      </c>
      <c r="F572" s="259" t="s">
        <v>990</v>
      </c>
      <c r="G572" s="38" t="s">
        <v>943</v>
      </c>
      <c r="H572" s="288"/>
      <c r="I572" s="220" t="s">
        <v>225</v>
      </c>
      <c r="J572" s="220" t="s">
        <v>31</v>
      </c>
    </row>
    <row r="573" spans="1:10" ht="14.25">
      <c r="A573" s="284"/>
      <c r="B573" s="38">
        <f t="shared" si="15"/>
        <v>0</v>
      </c>
      <c r="E573" s="38" t="s">
        <v>1278</v>
      </c>
      <c r="F573" s="288" t="s">
        <v>915</v>
      </c>
      <c r="G573" s="38" t="s">
        <v>991</v>
      </c>
      <c r="H573" s="288"/>
      <c r="I573" s="220" t="s">
        <v>225</v>
      </c>
      <c r="J573" s="220"/>
    </row>
    <row r="574" spans="1:10" ht="14.25">
      <c r="A574" s="284"/>
      <c r="B574" s="38">
        <f t="shared" si="15"/>
        <v>0</v>
      </c>
      <c r="E574" s="38" t="s">
        <v>1269</v>
      </c>
      <c r="F574" s="288" t="s">
        <v>961</v>
      </c>
      <c r="H574" s="288"/>
      <c r="I574" s="220"/>
      <c r="J574" s="220"/>
    </row>
    <row r="575" spans="1:10" ht="14.25">
      <c r="A575" s="287"/>
      <c r="B575" s="59">
        <f t="shared" si="15"/>
        <v>0</v>
      </c>
      <c r="C575" s="60"/>
      <c r="D575" s="59"/>
      <c r="E575" s="59"/>
      <c r="F575" s="282"/>
      <c r="G575" s="59"/>
      <c r="H575" s="282"/>
      <c r="I575" s="290"/>
      <c r="J575" s="290"/>
    </row>
    <row r="576" spans="1:10" ht="14.25">
      <c r="A576" s="284"/>
      <c r="B576" s="38">
        <f t="shared" si="15"/>
        <v>0</v>
      </c>
      <c r="C576" s="39" t="s">
        <v>1361</v>
      </c>
      <c r="E576" s="38" t="s">
        <v>1260</v>
      </c>
      <c r="F576" s="259" t="s">
        <v>961</v>
      </c>
      <c r="G576" s="38" t="s">
        <v>916</v>
      </c>
      <c r="H576" s="288"/>
      <c r="I576" s="220" t="s">
        <v>225</v>
      </c>
      <c r="J576" s="220" t="s">
        <v>34</v>
      </c>
    </row>
    <row r="577" spans="1:10" ht="14.25">
      <c r="A577" s="284"/>
      <c r="B577" s="38">
        <f t="shared" si="15"/>
        <v>0</v>
      </c>
      <c r="C577" s="39" t="s">
        <v>1362</v>
      </c>
      <c r="E577" s="38" t="s">
        <v>1263</v>
      </c>
      <c r="F577" s="275" t="s">
        <v>961</v>
      </c>
      <c r="G577" s="38" t="s">
        <v>916</v>
      </c>
      <c r="H577" s="288"/>
      <c r="I577" s="220" t="s">
        <v>225</v>
      </c>
      <c r="J577" s="220" t="s">
        <v>34</v>
      </c>
    </row>
    <row r="578" spans="1:10" ht="14.25">
      <c r="A578" s="284"/>
      <c r="B578" s="38">
        <f t="shared" si="15"/>
        <v>0</v>
      </c>
      <c r="C578" s="39" t="s">
        <v>1363</v>
      </c>
      <c r="E578" s="38" t="s">
        <v>1296</v>
      </c>
      <c r="F578" s="311" t="s">
        <v>961</v>
      </c>
      <c r="G578" s="38" t="s">
        <v>916</v>
      </c>
      <c r="H578" s="288"/>
      <c r="I578" s="220" t="s">
        <v>225</v>
      </c>
      <c r="J578" s="220" t="s">
        <v>34</v>
      </c>
    </row>
    <row r="579" spans="1:10" ht="14.25">
      <c r="A579" s="284"/>
      <c r="B579" s="38">
        <f t="shared" si="15"/>
        <v>0</v>
      </c>
      <c r="C579" s="39" t="s">
        <v>1262</v>
      </c>
      <c r="E579" s="38" t="s">
        <v>1284</v>
      </c>
      <c r="F579" s="259" t="s">
        <v>915</v>
      </c>
      <c r="G579" s="38" t="s">
        <v>1264</v>
      </c>
      <c r="H579" s="288"/>
      <c r="I579" s="220" t="s">
        <v>225</v>
      </c>
      <c r="J579" s="220" t="s">
        <v>34</v>
      </c>
    </row>
    <row r="580" spans="1:10" ht="14.25">
      <c r="A580" s="284"/>
      <c r="B580" s="38">
        <f t="shared" si="15"/>
        <v>0</v>
      </c>
      <c r="C580" s="39" t="s">
        <v>916</v>
      </c>
      <c r="E580" s="38" t="s">
        <v>1278</v>
      </c>
      <c r="F580" s="288" t="s">
        <v>915</v>
      </c>
      <c r="G580" s="38" t="s">
        <v>991</v>
      </c>
      <c r="H580" s="288"/>
      <c r="I580" s="220" t="s">
        <v>225</v>
      </c>
      <c r="J580" s="220"/>
    </row>
    <row r="581" spans="1:10" ht="14.25">
      <c r="A581" s="284"/>
      <c r="B581" s="38">
        <f t="shared" si="15"/>
        <v>0</v>
      </c>
      <c r="C581" s="39" t="s">
        <v>916</v>
      </c>
      <c r="E581" s="38" t="s">
        <v>1269</v>
      </c>
      <c r="F581" s="288" t="s">
        <v>961</v>
      </c>
      <c r="H581" s="288"/>
      <c r="I581" s="220"/>
      <c r="J581" s="220"/>
    </row>
    <row r="582" spans="1:10" ht="14.25">
      <c r="A582" s="287"/>
      <c r="B582" s="59">
        <f t="shared" si="15"/>
        <v>0</v>
      </c>
      <c r="C582" s="60"/>
      <c r="D582" s="59"/>
      <c r="E582" s="59"/>
      <c r="F582" s="282"/>
      <c r="G582" s="59"/>
      <c r="H582" s="282"/>
      <c r="I582" s="290"/>
      <c r="J582" s="290"/>
    </row>
    <row r="583" spans="1:10" ht="14.25">
      <c r="A583" s="284"/>
      <c r="B583" s="38">
        <f t="shared" si="15"/>
        <v>0</v>
      </c>
      <c r="C583" s="39" t="s">
        <v>1415</v>
      </c>
      <c r="E583" s="38" t="s">
        <v>1260</v>
      </c>
      <c r="F583" s="259" t="s">
        <v>990</v>
      </c>
      <c r="G583" s="38" t="s">
        <v>943</v>
      </c>
      <c r="H583" s="288"/>
      <c r="I583" s="220" t="s">
        <v>225</v>
      </c>
      <c r="J583" s="220" t="s">
        <v>34</v>
      </c>
    </row>
    <row r="584" spans="1:10" ht="14.25">
      <c r="A584" s="284"/>
      <c r="B584" s="38">
        <f t="shared" si="15"/>
        <v>0</v>
      </c>
      <c r="C584" s="39" t="s">
        <v>1372</v>
      </c>
      <c r="E584" s="38" t="s">
        <v>1263</v>
      </c>
      <c r="F584" s="275" t="s">
        <v>990</v>
      </c>
      <c r="G584" s="38" t="s">
        <v>943</v>
      </c>
      <c r="H584" s="288"/>
      <c r="I584" s="220" t="s">
        <v>225</v>
      </c>
      <c r="J584" s="220" t="s">
        <v>34</v>
      </c>
    </row>
    <row r="585" spans="1:10" ht="14.25">
      <c r="A585" s="284"/>
      <c r="B585" s="38">
        <f t="shared" si="15"/>
        <v>0</v>
      </c>
      <c r="C585" s="39" t="s">
        <v>1416</v>
      </c>
      <c r="E585" s="38" t="s">
        <v>1296</v>
      </c>
      <c r="F585" s="311" t="s">
        <v>990</v>
      </c>
      <c r="G585" s="38" t="s">
        <v>943</v>
      </c>
      <c r="H585" s="288"/>
      <c r="I585" s="312" t="s">
        <v>225</v>
      </c>
      <c r="J585" s="220" t="s">
        <v>34</v>
      </c>
    </row>
    <row r="586" spans="1:10" ht="14.25">
      <c r="A586" s="284"/>
      <c r="B586" s="38">
        <f t="shared" si="15"/>
        <v>0</v>
      </c>
      <c r="E586" s="38" t="s">
        <v>1284</v>
      </c>
      <c r="F586" s="259" t="s">
        <v>990</v>
      </c>
      <c r="G586" s="38" t="s">
        <v>943</v>
      </c>
      <c r="H586" s="288"/>
      <c r="I586" s="220" t="s">
        <v>225</v>
      </c>
      <c r="J586" s="220" t="s">
        <v>34</v>
      </c>
    </row>
    <row r="587" spans="1:10" ht="14.25">
      <c r="A587" s="284"/>
      <c r="B587" s="38">
        <f t="shared" si="15"/>
        <v>0</v>
      </c>
      <c r="E587" s="38" t="s">
        <v>1278</v>
      </c>
      <c r="F587" s="288" t="s">
        <v>915</v>
      </c>
      <c r="G587" s="38" t="s">
        <v>991</v>
      </c>
      <c r="H587" s="288"/>
      <c r="I587" s="220" t="s">
        <v>225</v>
      </c>
      <c r="J587" s="220"/>
    </row>
    <row r="588" spans="1:10" ht="14.25">
      <c r="A588" s="284"/>
      <c r="B588" s="38">
        <f t="shared" si="15"/>
        <v>0</v>
      </c>
      <c r="E588" s="38" t="s">
        <v>1269</v>
      </c>
      <c r="F588" s="288" t="s">
        <v>961</v>
      </c>
      <c r="H588" s="288"/>
      <c r="I588" s="220"/>
      <c r="J588" s="220"/>
    </row>
    <row r="589" spans="1:10" ht="14.25">
      <c r="A589" s="284"/>
      <c r="B589" s="38">
        <f t="shared" si="15"/>
        <v>0</v>
      </c>
      <c r="I589" s="220"/>
      <c r="J589" s="220"/>
    </row>
    <row r="590" spans="1:10" ht="14.25">
      <c r="A590" s="284"/>
      <c r="B590" s="38">
        <f t="shared" si="15"/>
        <v>0</v>
      </c>
      <c r="I590" s="220"/>
      <c r="J590" s="220"/>
    </row>
    <row r="591" spans="1:10" ht="14.25">
      <c r="A591" s="284"/>
      <c r="B591" s="38">
        <f t="shared" si="15"/>
        <v>0</v>
      </c>
      <c r="I591" s="220"/>
      <c r="J591" s="220"/>
    </row>
    <row r="592" spans="1:10" ht="14.25">
      <c r="A592" s="284"/>
      <c r="B592" s="38">
        <f t="shared" si="15"/>
        <v>0</v>
      </c>
      <c r="I592" s="220"/>
      <c r="J592" s="220"/>
    </row>
    <row r="593" spans="1:10" ht="14.25">
      <c r="A593" s="284"/>
      <c r="B593" s="38">
        <f t="shared" si="15"/>
        <v>0</v>
      </c>
      <c r="I593" s="220"/>
      <c r="J593" s="220"/>
    </row>
    <row r="594" spans="1:10" ht="14.25">
      <c r="A594" s="284"/>
      <c r="B594" s="38">
        <f t="shared" si="15"/>
        <v>0</v>
      </c>
      <c r="I594" s="220"/>
      <c r="J594" s="220"/>
    </row>
    <row r="595" spans="1:10" ht="14.25">
      <c r="A595" s="284"/>
      <c r="B595" s="38">
        <f t="shared" si="15"/>
        <v>0</v>
      </c>
      <c r="I595" s="220"/>
      <c r="J595" s="220"/>
    </row>
    <row r="596" spans="1:10" ht="14.25">
      <c r="A596" s="284"/>
      <c r="B596" s="38">
        <f t="shared" si="15"/>
        <v>0</v>
      </c>
      <c r="I596" s="220"/>
      <c r="J596" s="220"/>
    </row>
    <row r="597" spans="1:10" ht="14.25">
      <c r="A597" s="284"/>
      <c r="B597" s="38">
        <f t="shared" si="15"/>
        <v>0</v>
      </c>
      <c r="I597" s="220"/>
      <c r="J597" s="220"/>
    </row>
    <row r="598" spans="1:10" ht="14.25">
      <c r="A598" s="284"/>
      <c r="B598" s="38">
        <f t="shared" si="15"/>
        <v>0</v>
      </c>
      <c r="I598" s="220"/>
      <c r="J598" s="220"/>
    </row>
    <row r="599" spans="1:10" ht="14.25">
      <c r="A599" s="284"/>
      <c r="B599" s="38">
        <f t="shared" si="15"/>
        <v>0</v>
      </c>
      <c r="I599" s="220"/>
      <c r="J599" s="220"/>
    </row>
    <row r="600" spans="1:10" ht="14.25">
      <c r="A600" s="284"/>
      <c r="B600" s="38">
        <f t="shared" si="15"/>
        <v>0</v>
      </c>
      <c r="I600" s="220"/>
      <c r="J600" s="220"/>
    </row>
    <row r="601" spans="1:10" ht="14.25">
      <c r="A601" s="284"/>
      <c r="B601" s="38">
        <f t="shared" si="15"/>
        <v>0</v>
      </c>
      <c r="I601" s="220"/>
      <c r="J601" s="220"/>
    </row>
    <row r="602" spans="1:10" ht="14.25">
      <c r="A602" s="284"/>
      <c r="B602" s="38">
        <f t="shared" si="15"/>
        <v>0</v>
      </c>
      <c r="I602" s="220"/>
      <c r="J602" s="220"/>
    </row>
    <row r="603" spans="1:10" ht="14.25">
      <c r="A603" s="284"/>
      <c r="B603" s="38">
        <f t="shared" si="15"/>
        <v>0</v>
      </c>
      <c r="I603" s="220"/>
      <c r="J603" s="220"/>
    </row>
    <row r="604" spans="1:10" ht="14.25">
      <c r="A604" s="284"/>
      <c r="B604" s="38">
        <f t="shared" si="15"/>
        <v>0</v>
      </c>
      <c r="I604" s="220"/>
      <c r="J604" s="220"/>
    </row>
    <row r="605" spans="1:10" ht="14.25">
      <c r="A605" s="284"/>
      <c r="B605" s="38">
        <f t="shared" si="15"/>
        <v>0</v>
      </c>
      <c r="I605" s="220"/>
      <c r="J605" s="220"/>
    </row>
    <row r="606" spans="1:10" ht="14.25">
      <c r="A606" s="284"/>
      <c r="B606" s="38">
        <f t="shared" si="15"/>
        <v>0</v>
      </c>
      <c r="I606" s="220"/>
      <c r="J606" s="220"/>
    </row>
    <row r="607" spans="1:10" ht="14.25">
      <c r="A607" s="284"/>
      <c r="B607" s="38">
        <f t="shared" si="15"/>
        <v>0</v>
      </c>
      <c r="I607" s="220"/>
      <c r="J607" s="220"/>
    </row>
    <row r="608" spans="1:10" ht="14.25">
      <c r="A608" s="284"/>
      <c r="B608" s="38">
        <f t="shared" si="15"/>
        <v>0</v>
      </c>
      <c r="I608" s="220"/>
      <c r="J608" s="220"/>
    </row>
    <row r="609" spans="1:10" ht="14.25">
      <c r="A609" s="284"/>
      <c r="B609" s="38">
        <f t="shared" si="15"/>
        <v>0</v>
      </c>
      <c r="I609" s="220"/>
      <c r="J609" s="220"/>
    </row>
    <row r="610" spans="1:10" ht="14.25">
      <c r="A610" s="284"/>
      <c r="B610" s="38">
        <f t="shared" si="15"/>
        <v>0</v>
      </c>
      <c r="I610" s="220"/>
      <c r="J610" s="220"/>
    </row>
    <row r="611" spans="1:10" ht="14.25">
      <c r="A611" s="284"/>
      <c r="B611" s="38">
        <f t="shared" si="15"/>
        <v>0</v>
      </c>
      <c r="I611" s="220"/>
      <c r="J611" s="220"/>
    </row>
    <row r="612" spans="1:10" ht="14.25">
      <c r="A612" s="284"/>
      <c r="B612" s="38">
        <f t="shared" si="15"/>
        <v>0</v>
      </c>
      <c r="I612" s="220"/>
      <c r="J612" s="220"/>
    </row>
    <row r="613" spans="1:10" ht="14.25">
      <c r="A613" s="284"/>
      <c r="B613" s="38">
        <f t="shared" si="15"/>
        <v>0</v>
      </c>
      <c r="I613" s="220"/>
      <c r="J613" s="220"/>
    </row>
    <row r="614" spans="1:10" ht="14.25">
      <c r="A614" s="284"/>
      <c r="B614" s="38">
        <f t="shared" si="15"/>
        <v>0</v>
      </c>
      <c r="I614" s="220"/>
      <c r="J614" s="220"/>
    </row>
    <row r="615" spans="1:10" ht="14.25">
      <c r="A615" s="284"/>
      <c r="B615" s="38">
        <f t="shared" si="15"/>
        <v>0</v>
      </c>
      <c r="I615" s="220"/>
      <c r="J615" s="220"/>
    </row>
    <row r="616" spans="1:10" ht="14.25">
      <c r="A616" s="286"/>
      <c r="B616" s="38">
        <f t="shared" si="15"/>
        <v>0</v>
      </c>
      <c r="I616" s="220"/>
      <c r="J616" s="220"/>
    </row>
    <row r="617" spans="1:10" ht="14.25">
      <c r="A617" s="286"/>
      <c r="B617" s="38">
        <f t="shared" si="15"/>
        <v>0</v>
      </c>
      <c r="I617" s="220"/>
      <c r="J617" s="220"/>
    </row>
    <row r="618" spans="1:10" ht="14.25">
      <c r="A618" s="286"/>
      <c r="B618" s="38">
        <f t="shared" si="15"/>
        <v>0</v>
      </c>
      <c r="I618" s="220"/>
      <c r="J618" s="220"/>
    </row>
    <row r="619" spans="1:10" ht="14.25">
      <c r="A619" s="286"/>
      <c r="B619" s="38">
        <f t="shared" si="15"/>
        <v>0</v>
      </c>
      <c r="I619" s="220"/>
      <c r="J619" s="220"/>
    </row>
    <row r="620" spans="1:10" ht="14.25">
      <c r="A620" s="286"/>
      <c r="B620" s="38">
        <f t="shared" si="15"/>
        <v>0</v>
      </c>
      <c r="I620" s="220"/>
      <c r="J620" s="220"/>
    </row>
    <row r="621" spans="1:10" ht="14.25">
      <c r="A621" s="286"/>
      <c r="B621" s="38">
        <f t="shared" si="15"/>
        <v>0</v>
      </c>
      <c r="I621" s="220"/>
      <c r="J621" s="220"/>
    </row>
    <row r="622" spans="1:10" ht="14.25">
      <c r="A622" s="286"/>
      <c r="B622" s="38">
        <f t="shared" si="15"/>
        <v>0</v>
      </c>
      <c r="I622" s="220"/>
      <c r="J622" s="220"/>
    </row>
    <row r="623" spans="1:10" ht="14.25">
      <c r="A623" s="286"/>
      <c r="B623" s="38">
        <f t="shared" si="15"/>
        <v>0</v>
      </c>
      <c r="I623" s="220"/>
      <c r="J623" s="220"/>
    </row>
    <row r="624" spans="1:10" ht="14.25">
      <c r="A624" s="286"/>
      <c r="B624" s="38">
        <f t="shared" si="15"/>
        <v>0</v>
      </c>
      <c r="I624" s="220"/>
      <c r="J624" s="220"/>
    </row>
    <row r="625" spans="1:10" ht="14.25">
      <c r="A625" s="286"/>
      <c r="B625" s="38">
        <f t="shared" si="15"/>
        <v>0</v>
      </c>
      <c r="I625" s="220"/>
      <c r="J625" s="220"/>
    </row>
    <row r="626" spans="1:10" ht="14.25">
      <c r="A626" s="286"/>
      <c r="B626" s="38">
        <f t="shared" si="15"/>
        <v>0</v>
      </c>
      <c r="I626" s="220"/>
      <c r="J626" s="220"/>
    </row>
    <row r="627" spans="1:10" ht="14.25">
      <c r="A627" s="286"/>
      <c r="B627" s="38">
        <f t="shared" si="15"/>
        <v>0</v>
      </c>
      <c r="I627" s="220"/>
      <c r="J627" s="220"/>
    </row>
    <row r="628" spans="1:10" ht="14.25">
      <c r="A628" s="286"/>
      <c r="B628" s="38">
        <f t="shared" si="15"/>
        <v>0</v>
      </c>
      <c r="I628" s="220"/>
      <c r="J628" s="220"/>
    </row>
    <row r="629" spans="1:10" ht="14.25">
      <c r="A629" s="286"/>
      <c r="B629" s="38">
        <f t="shared" si="15"/>
        <v>0</v>
      </c>
      <c r="I629" s="220"/>
      <c r="J629" s="220"/>
    </row>
    <row r="630" spans="1:10" ht="14.25">
      <c r="A630" s="286"/>
      <c r="B630" s="38">
        <f t="shared" si="15"/>
        <v>0</v>
      </c>
      <c r="I630" s="220"/>
      <c r="J630" s="220"/>
    </row>
    <row r="631" spans="1:10" ht="14.25">
      <c r="A631" s="286"/>
      <c r="B631" s="38">
        <f t="shared" si="15"/>
        <v>0</v>
      </c>
      <c r="I631" s="220"/>
      <c r="J631" s="220"/>
    </row>
    <row r="632" spans="1:10" ht="14.25">
      <c r="A632" s="286"/>
      <c r="B632" s="38">
        <f t="shared" ref="B632:B695" si="16">WEEKNUM(A632)</f>
        <v>0</v>
      </c>
      <c r="I632" s="220"/>
      <c r="J632" s="220"/>
    </row>
    <row r="633" spans="1:10" ht="14.25">
      <c r="A633" s="286"/>
      <c r="B633" s="38">
        <f t="shared" si="16"/>
        <v>0</v>
      </c>
      <c r="I633" s="220"/>
      <c r="J633" s="220"/>
    </row>
    <row r="634" spans="1:10" ht="14.25">
      <c r="A634" s="286"/>
      <c r="B634" s="38">
        <f t="shared" si="16"/>
        <v>0</v>
      </c>
      <c r="I634" s="220"/>
      <c r="J634" s="220"/>
    </row>
    <row r="635" spans="1:10" ht="14.25">
      <c r="A635" s="286"/>
      <c r="B635" s="38">
        <f t="shared" si="16"/>
        <v>0</v>
      </c>
      <c r="I635" s="220"/>
      <c r="J635" s="220"/>
    </row>
    <row r="636" spans="1:10" ht="14.25">
      <c r="A636" s="286"/>
      <c r="B636" s="38">
        <f t="shared" si="16"/>
        <v>0</v>
      </c>
      <c r="I636" s="220"/>
      <c r="J636" s="220"/>
    </row>
    <row r="637" spans="1:10" ht="14.25">
      <c r="A637" s="286"/>
      <c r="B637" s="38">
        <f t="shared" si="16"/>
        <v>0</v>
      </c>
      <c r="I637" s="220"/>
      <c r="J637" s="220"/>
    </row>
    <row r="638" spans="1:10" ht="14.25">
      <c r="A638" s="286"/>
      <c r="B638" s="38">
        <f t="shared" si="16"/>
        <v>0</v>
      </c>
      <c r="I638" s="220"/>
      <c r="J638" s="220"/>
    </row>
    <row r="639" spans="1:10" ht="14.25">
      <c r="A639" s="286"/>
      <c r="B639" s="38">
        <f t="shared" si="16"/>
        <v>0</v>
      </c>
      <c r="I639" s="220"/>
      <c r="J639" s="220"/>
    </row>
    <row r="640" spans="1:10" ht="14.25">
      <c r="A640" s="286"/>
      <c r="B640" s="38">
        <f t="shared" si="16"/>
        <v>0</v>
      </c>
      <c r="I640" s="220"/>
      <c r="J640" s="220"/>
    </row>
    <row r="641" spans="1:10" ht="14.25">
      <c r="A641" s="286"/>
      <c r="B641" s="38">
        <f t="shared" si="16"/>
        <v>0</v>
      </c>
      <c r="I641" s="220"/>
      <c r="J641" s="220"/>
    </row>
    <row r="642" spans="1:10" ht="14.25">
      <c r="A642" s="286"/>
      <c r="B642" s="38">
        <f t="shared" si="16"/>
        <v>0</v>
      </c>
      <c r="I642" s="220"/>
      <c r="J642" s="220"/>
    </row>
    <row r="643" spans="1:10" ht="14.25">
      <c r="A643" s="286"/>
      <c r="B643" s="38">
        <f t="shared" si="16"/>
        <v>0</v>
      </c>
      <c r="I643" s="220"/>
      <c r="J643" s="220"/>
    </row>
    <row r="644" spans="1:10" ht="14.25">
      <c r="A644" s="286"/>
      <c r="B644" s="38">
        <f t="shared" si="16"/>
        <v>0</v>
      </c>
      <c r="I644" s="220"/>
      <c r="J644" s="220"/>
    </row>
    <row r="645" spans="1:10" ht="14.25">
      <c r="A645" s="286"/>
      <c r="B645" s="38">
        <f t="shared" si="16"/>
        <v>0</v>
      </c>
      <c r="I645" s="220"/>
      <c r="J645" s="220"/>
    </row>
    <row r="646" spans="1:10" ht="14.25">
      <c r="A646" s="286"/>
      <c r="B646" s="38">
        <f t="shared" si="16"/>
        <v>0</v>
      </c>
      <c r="I646" s="220"/>
      <c r="J646" s="220"/>
    </row>
    <row r="647" spans="1:10" ht="14.25">
      <c r="A647" s="286"/>
      <c r="B647" s="38">
        <f t="shared" si="16"/>
        <v>0</v>
      </c>
      <c r="I647" s="220"/>
      <c r="J647" s="220"/>
    </row>
    <row r="648" spans="1:10" ht="14.25">
      <c r="A648" s="286"/>
      <c r="B648" s="38">
        <f t="shared" si="16"/>
        <v>0</v>
      </c>
      <c r="I648" s="220"/>
      <c r="J648" s="220"/>
    </row>
    <row r="649" spans="1:10" ht="14.25">
      <c r="A649" s="286"/>
      <c r="B649" s="38">
        <f t="shared" si="16"/>
        <v>0</v>
      </c>
      <c r="I649" s="220"/>
      <c r="J649" s="220"/>
    </row>
    <row r="650" spans="1:10" ht="14.25">
      <c r="A650" s="286"/>
      <c r="B650" s="38">
        <f t="shared" si="16"/>
        <v>0</v>
      </c>
      <c r="I650" s="220"/>
      <c r="J650" s="220"/>
    </row>
    <row r="651" spans="1:10" ht="14.25">
      <c r="A651" s="286"/>
      <c r="B651" s="38">
        <f t="shared" si="16"/>
        <v>0</v>
      </c>
      <c r="I651" s="220"/>
      <c r="J651" s="220"/>
    </row>
    <row r="652" spans="1:10" ht="14.25">
      <c r="A652" s="286"/>
      <c r="B652" s="38">
        <f t="shared" si="16"/>
        <v>0</v>
      </c>
      <c r="I652" s="220"/>
      <c r="J652" s="220"/>
    </row>
    <row r="653" spans="1:10" ht="14.25">
      <c r="A653" s="286"/>
      <c r="B653" s="38">
        <f t="shared" si="16"/>
        <v>0</v>
      </c>
      <c r="I653" s="220"/>
      <c r="J653" s="220"/>
    </row>
    <row r="654" spans="1:10" ht="14.25">
      <c r="A654" s="286"/>
      <c r="B654" s="38">
        <f t="shared" si="16"/>
        <v>0</v>
      </c>
      <c r="I654" s="220"/>
      <c r="J654" s="220"/>
    </row>
    <row r="655" spans="1:10" ht="14.25">
      <c r="A655" s="286"/>
      <c r="B655" s="38">
        <f t="shared" si="16"/>
        <v>0</v>
      </c>
      <c r="I655" s="220"/>
      <c r="J655" s="220"/>
    </row>
    <row r="656" spans="1:10" ht="14.25">
      <c r="A656" s="286"/>
      <c r="B656" s="38">
        <f t="shared" si="16"/>
        <v>0</v>
      </c>
      <c r="I656" s="220"/>
      <c r="J656" s="220"/>
    </row>
    <row r="657" spans="1:10" ht="14.25">
      <c r="A657" s="286"/>
      <c r="B657" s="38">
        <f t="shared" si="16"/>
        <v>0</v>
      </c>
      <c r="I657" s="220"/>
      <c r="J657" s="220"/>
    </row>
    <row r="658" spans="1:10" ht="14.25">
      <c r="A658" s="286"/>
      <c r="B658" s="38">
        <f t="shared" si="16"/>
        <v>0</v>
      </c>
      <c r="I658" s="220"/>
      <c r="J658" s="220"/>
    </row>
    <row r="659" spans="1:10" ht="14.25">
      <c r="A659" s="286"/>
      <c r="B659" s="38">
        <f t="shared" si="16"/>
        <v>0</v>
      </c>
      <c r="I659" s="220"/>
      <c r="J659" s="220"/>
    </row>
    <row r="660" spans="1:10" ht="14.25">
      <c r="A660" s="286"/>
      <c r="B660" s="38">
        <f t="shared" si="16"/>
        <v>0</v>
      </c>
      <c r="I660" s="220"/>
      <c r="J660" s="220"/>
    </row>
    <row r="661" spans="1:10" ht="14.25">
      <c r="A661" s="286"/>
      <c r="B661" s="38">
        <f t="shared" si="16"/>
        <v>0</v>
      </c>
      <c r="I661" s="220"/>
      <c r="J661" s="220"/>
    </row>
    <row r="662" spans="1:10" ht="14.25">
      <c r="A662" s="286"/>
      <c r="B662" s="38">
        <f t="shared" si="16"/>
        <v>0</v>
      </c>
      <c r="I662" s="220"/>
      <c r="J662" s="220"/>
    </row>
    <row r="663" spans="1:10" ht="14.25">
      <c r="A663" s="286"/>
      <c r="B663" s="38">
        <f t="shared" si="16"/>
        <v>0</v>
      </c>
      <c r="I663" s="220"/>
      <c r="J663" s="220"/>
    </row>
    <row r="664" spans="1:10" ht="14.25">
      <c r="A664" s="286"/>
      <c r="B664" s="38">
        <f t="shared" si="16"/>
        <v>0</v>
      </c>
      <c r="I664" s="220"/>
      <c r="J664" s="220"/>
    </row>
    <row r="665" spans="1:10" ht="14.25">
      <c r="A665" s="286"/>
      <c r="B665" s="38">
        <f t="shared" si="16"/>
        <v>0</v>
      </c>
      <c r="I665" s="220"/>
      <c r="J665" s="220"/>
    </row>
    <row r="666" spans="1:10" ht="14.25">
      <c r="A666" s="286"/>
      <c r="B666" s="38">
        <f t="shared" si="16"/>
        <v>0</v>
      </c>
      <c r="I666" s="220"/>
      <c r="J666" s="220"/>
    </row>
    <row r="667" spans="1:10" ht="14.25">
      <c r="A667" s="286"/>
      <c r="B667" s="38">
        <f t="shared" si="16"/>
        <v>0</v>
      </c>
      <c r="I667" s="220"/>
      <c r="J667" s="220"/>
    </row>
    <row r="668" spans="1:10" ht="14.25">
      <c r="A668" s="286"/>
      <c r="B668" s="38">
        <f t="shared" si="16"/>
        <v>0</v>
      </c>
      <c r="I668" s="220"/>
      <c r="J668" s="220"/>
    </row>
    <row r="669" spans="1:10" ht="14.25">
      <c r="A669" s="286"/>
      <c r="B669" s="38">
        <f t="shared" si="16"/>
        <v>0</v>
      </c>
      <c r="I669" s="220"/>
      <c r="J669" s="220"/>
    </row>
    <row r="670" spans="1:10" ht="14.25">
      <c r="A670" s="286"/>
      <c r="B670" s="38">
        <f t="shared" si="16"/>
        <v>0</v>
      </c>
      <c r="I670" s="220"/>
      <c r="J670" s="220"/>
    </row>
    <row r="671" spans="1:10" ht="14.25">
      <c r="A671" s="286"/>
      <c r="B671" s="38">
        <f t="shared" si="16"/>
        <v>0</v>
      </c>
      <c r="I671" s="220"/>
      <c r="J671" s="220"/>
    </row>
    <row r="672" spans="1:10" ht="14.25">
      <c r="A672" s="286"/>
      <c r="B672" s="38">
        <f t="shared" si="16"/>
        <v>0</v>
      </c>
      <c r="I672" s="220"/>
      <c r="J672" s="220"/>
    </row>
    <row r="673" spans="1:10" ht="14.25">
      <c r="A673" s="286"/>
      <c r="B673" s="38">
        <f t="shared" si="16"/>
        <v>0</v>
      </c>
      <c r="I673" s="220"/>
      <c r="J673" s="220"/>
    </row>
    <row r="674" spans="1:10" ht="14.25">
      <c r="A674" s="286"/>
      <c r="B674" s="38">
        <f t="shared" si="16"/>
        <v>0</v>
      </c>
      <c r="I674" s="220"/>
      <c r="J674" s="220"/>
    </row>
    <row r="675" spans="1:10" ht="14.25">
      <c r="A675" s="286"/>
      <c r="B675" s="38">
        <f t="shared" si="16"/>
        <v>0</v>
      </c>
      <c r="I675" s="220"/>
      <c r="J675" s="220"/>
    </row>
    <row r="676" spans="1:10" ht="14.25">
      <c r="A676" s="286"/>
      <c r="B676" s="38">
        <f t="shared" si="16"/>
        <v>0</v>
      </c>
      <c r="I676" s="220"/>
      <c r="J676" s="220"/>
    </row>
    <row r="677" spans="1:10" ht="14.25">
      <c r="A677" s="286"/>
      <c r="B677" s="38">
        <f t="shared" si="16"/>
        <v>0</v>
      </c>
      <c r="I677" s="220"/>
      <c r="J677" s="220"/>
    </row>
    <row r="678" spans="1:10" ht="14.25">
      <c r="A678" s="286"/>
      <c r="B678" s="38">
        <f t="shared" si="16"/>
        <v>0</v>
      </c>
      <c r="I678" s="220"/>
      <c r="J678" s="220"/>
    </row>
    <row r="679" spans="1:10" ht="14.25">
      <c r="A679" s="286"/>
      <c r="B679" s="38">
        <f t="shared" si="16"/>
        <v>0</v>
      </c>
      <c r="I679" s="220"/>
      <c r="J679" s="220"/>
    </row>
    <row r="680" spans="1:10" ht="14.25">
      <c r="A680" s="286"/>
      <c r="B680" s="38">
        <f t="shared" si="16"/>
        <v>0</v>
      </c>
      <c r="I680" s="220"/>
      <c r="J680" s="220"/>
    </row>
    <row r="681" spans="1:10" ht="14.25">
      <c r="A681" s="286"/>
      <c r="B681" s="38">
        <f t="shared" si="16"/>
        <v>0</v>
      </c>
      <c r="I681" s="220"/>
      <c r="J681" s="220"/>
    </row>
    <row r="682" spans="1:10" ht="14.25">
      <c r="A682" s="286"/>
      <c r="B682" s="38">
        <f t="shared" si="16"/>
        <v>0</v>
      </c>
      <c r="I682" s="220"/>
      <c r="J682" s="220"/>
    </row>
    <row r="683" spans="1:10" ht="14.25">
      <c r="A683" s="286"/>
      <c r="B683" s="38">
        <f t="shared" si="16"/>
        <v>0</v>
      </c>
      <c r="I683" s="220"/>
      <c r="J683" s="220"/>
    </row>
    <row r="684" spans="1:10" ht="14.25">
      <c r="A684" s="286"/>
      <c r="B684" s="38">
        <f t="shared" si="16"/>
        <v>0</v>
      </c>
      <c r="I684" s="220"/>
      <c r="J684" s="220"/>
    </row>
    <row r="685" spans="1:10" ht="14.25">
      <c r="A685" s="286"/>
      <c r="B685" s="38">
        <f t="shared" si="16"/>
        <v>0</v>
      </c>
      <c r="I685" s="220"/>
      <c r="J685" s="220"/>
    </row>
    <row r="686" spans="1:10" ht="14.25">
      <c r="A686" s="286"/>
      <c r="B686" s="38">
        <f t="shared" si="16"/>
        <v>0</v>
      </c>
      <c r="I686" s="220"/>
      <c r="J686" s="220"/>
    </row>
    <row r="687" spans="1:10" ht="14.25">
      <c r="A687" s="286"/>
      <c r="B687" s="38">
        <f t="shared" si="16"/>
        <v>0</v>
      </c>
      <c r="I687" s="220"/>
      <c r="J687" s="220"/>
    </row>
    <row r="688" spans="1:10" ht="14.25">
      <c r="A688" s="286"/>
      <c r="B688" s="38">
        <f t="shared" si="16"/>
        <v>0</v>
      </c>
      <c r="I688" s="220"/>
      <c r="J688" s="220"/>
    </row>
    <row r="689" spans="1:10" ht="14.25">
      <c r="A689" s="286"/>
      <c r="B689" s="38">
        <f t="shared" si="16"/>
        <v>0</v>
      </c>
      <c r="I689" s="220"/>
      <c r="J689" s="220"/>
    </row>
    <row r="690" spans="1:10" ht="14.25">
      <c r="A690" s="286"/>
      <c r="B690" s="38">
        <f t="shared" si="16"/>
        <v>0</v>
      </c>
      <c r="I690" s="220"/>
      <c r="J690" s="220"/>
    </row>
    <row r="691" spans="1:10" ht="14.25">
      <c r="A691" s="286"/>
      <c r="B691" s="38">
        <f t="shared" si="16"/>
        <v>0</v>
      </c>
      <c r="I691" s="220"/>
      <c r="J691" s="220"/>
    </row>
    <row r="692" spans="1:10" ht="14.25">
      <c r="A692" s="286"/>
      <c r="B692" s="38">
        <f t="shared" si="16"/>
        <v>0</v>
      </c>
      <c r="I692" s="220"/>
      <c r="J692" s="220"/>
    </row>
    <row r="693" spans="1:10" ht="14.25">
      <c r="A693" s="286"/>
      <c r="B693" s="38">
        <f t="shared" si="16"/>
        <v>0</v>
      </c>
      <c r="I693" s="220"/>
      <c r="J693" s="220"/>
    </row>
    <row r="694" spans="1:10" ht="14.25">
      <c r="A694" s="286"/>
      <c r="B694" s="38">
        <f t="shared" si="16"/>
        <v>0</v>
      </c>
      <c r="I694" s="220"/>
      <c r="J694" s="220"/>
    </row>
    <row r="695" spans="1:10" ht="14.25">
      <c r="A695" s="286"/>
      <c r="B695" s="38">
        <f t="shared" si="16"/>
        <v>0</v>
      </c>
      <c r="I695" s="220"/>
      <c r="J695" s="220"/>
    </row>
    <row r="696" spans="1:10" ht="14.25">
      <c r="A696" s="286"/>
      <c r="B696" s="38">
        <f t="shared" ref="B696:B759" si="17">WEEKNUM(A696)</f>
        <v>0</v>
      </c>
      <c r="I696" s="220"/>
      <c r="J696" s="220"/>
    </row>
    <row r="697" spans="1:10" ht="14.25">
      <c r="A697" s="286"/>
      <c r="B697" s="38">
        <f t="shared" si="17"/>
        <v>0</v>
      </c>
      <c r="I697" s="220"/>
      <c r="J697" s="220"/>
    </row>
    <row r="698" spans="1:10" ht="14.25">
      <c r="A698" s="286"/>
      <c r="B698" s="38">
        <f t="shared" si="17"/>
        <v>0</v>
      </c>
      <c r="I698" s="220"/>
      <c r="J698" s="220"/>
    </row>
    <row r="699" spans="1:10" ht="14.25">
      <c r="A699" s="286"/>
      <c r="B699" s="38">
        <f t="shared" si="17"/>
        <v>0</v>
      </c>
      <c r="I699" s="220"/>
      <c r="J699" s="220"/>
    </row>
    <row r="700" spans="1:10" ht="14.25">
      <c r="A700" s="286"/>
      <c r="B700" s="38">
        <f t="shared" si="17"/>
        <v>0</v>
      </c>
      <c r="I700" s="220"/>
      <c r="J700" s="220"/>
    </row>
    <row r="701" spans="1:10" ht="14.25">
      <c r="A701" s="286"/>
      <c r="B701" s="38">
        <f t="shared" si="17"/>
        <v>0</v>
      </c>
      <c r="I701" s="220"/>
      <c r="J701" s="220"/>
    </row>
    <row r="702" spans="1:10" ht="14.25">
      <c r="A702" s="286"/>
      <c r="B702" s="38">
        <f t="shared" si="17"/>
        <v>0</v>
      </c>
      <c r="I702" s="220"/>
      <c r="J702" s="220"/>
    </row>
    <row r="703" spans="1:10" ht="14.25">
      <c r="A703" s="286"/>
      <c r="B703" s="38">
        <f t="shared" si="17"/>
        <v>0</v>
      </c>
      <c r="I703" s="220"/>
      <c r="J703" s="220"/>
    </row>
    <row r="704" spans="1:10" ht="14.25">
      <c r="A704" s="286"/>
      <c r="B704" s="38">
        <f t="shared" si="17"/>
        <v>0</v>
      </c>
      <c r="I704" s="220"/>
      <c r="J704" s="220"/>
    </row>
    <row r="705" spans="1:10" ht="14.25">
      <c r="A705" s="286"/>
      <c r="B705" s="38">
        <f t="shared" si="17"/>
        <v>0</v>
      </c>
      <c r="I705" s="220"/>
      <c r="J705" s="220"/>
    </row>
    <row r="706" spans="1:10" ht="14.25">
      <c r="A706" s="286"/>
      <c r="B706" s="38">
        <f t="shared" si="17"/>
        <v>0</v>
      </c>
      <c r="I706" s="220"/>
      <c r="J706" s="220"/>
    </row>
    <row r="707" spans="1:10" ht="14.25">
      <c r="A707" s="286"/>
      <c r="B707" s="38">
        <f t="shared" si="17"/>
        <v>0</v>
      </c>
      <c r="I707" s="220"/>
      <c r="J707" s="220"/>
    </row>
    <row r="708" spans="1:10" ht="14.25">
      <c r="A708" s="286"/>
      <c r="B708" s="38">
        <f t="shared" si="17"/>
        <v>0</v>
      </c>
      <c r="I708" s="220"/>
      <c r="J708" s="220"/>
    </row>
    <row r="709" spans="1:10" ht="14.25">
      <c r="A709" s="286"/>
      <c r="B709" s="38">
        <f t="shared" si="17"/>
        <v>0</v>
      </c>
      <c r="I709" s="220"/>
      <c r="J709" s="220"/>
    </row>
    <row r="710" spans="1:10" ht="14.25">
      <c r="A710" s="286"/>
      <c r="B710" s="38">
        <f t="shared" si="17"/>
        <v>0</v>
      </c>
      <c r="I710" s="220"/>
      <c r="J710" s="220"/>
    </row>
    <row r="711" spans="1:10" ht="14.25">
      <c r="A711" s="286"/>
      <c r="B711" s="38">
        <f t="shared" si="17"/>
        <v>0</v>
      </c>
      <c r="I711" s="220"/>
      <c r="J711" s="220"/>
    </row>
    <row r="712" spans="1:10" ht="14.25">
      <c r="A712" s="286"/>
      <c r="B712" s="38">
        <f t="shared" si="17"/>
        <v>0</v>
      </c>
      <c r="I712" s="220"/>
      <c r="J712" s="220"/>
    </row>
    <row r="713" spans="1:10" ht="14.25">
      <c r="A713" s="286"/>
      <c r="B713" s="38">
        <f t="shared" si="17"/>
        <v>0</v>
      </c>
      <c r="I713" s="220"/>
      <c r="J713" s="220"/>
    </row>
    <row r="714" spans="1:10" ht="14.25">
      <c r="A714" s="286"/>
      <c r="B714" s="38">
        <f t="shared" si="17"/>
        <v>0</v>
      </c>
      <c r="I714" s="220"/>
      <c r="J714" s="220"/>
    </row>
    <row r="715" spans="1:10" ht="14.25">
      <c r="A715" s="286"/>
      <c r="B715" s="38">
        <f t="shared" si="17"/>
        <v>0</v>
      </c>
      <c r="I715" s="220"/>
      <c r="J715" s="220"/>
    </row>
    <row r="716" spans="1:10" ht="14.25">
      <c r="A716" s="286"/>
      <c r="B716" s="38">
        <f t="shared" si="17"/>
        <v>0</v>
      </c>
      <c r="I716" s="220"/>
      <c r="J716" s="220"/>
    </row>
    <row r="717" spans="1:10" ht="14.25">
      <c r="A717" s="286"/>
      <c r="B717" s="38">
        <f t="shared" si="17"/>
        <v>0</v>
      </c>
      <c r="I717" s="220"/>
      <c r="J717" s="220"/>
    </row>
    <row r="718" spans="1:10" ht="14.25">
      <c r="A718" s="286"/>
      <c r="B718" s="38">
        <f t="shared" si="17"/>
        <v>0</v>
      </c>
      <c r="I718" s="220"/>
      <c r="J718" s="220"/>
    </row>
    <row r="719" spans="1:10" ht="14.25">
      <c r="A719" s="286"/>
      <c r="B719" s="38">
        <f t="shared" si="17"/>
        <v>0</v>
      </c>
      <c r="I719" s="220"/>
      <c r="J719" s="220"/>
    </row>
    <row r="720" spans="1:10" ht="14.25">
      <c r="A720" s="286"/>
      <c r="B720" s="38">
        <f t="shared" si="17"/>
        <v>0</v>
      </c>
      <c r="I720" s="220"/>
      <c r="J720" s="220"/>
    </row>
    <row r="721" spans="1:10" ht="14.25">
      <c r="A721" s="286"/>
      <c r="B721" s="38">
        <f t="shared" si="17"/>
        <v>0</v>
      </c>
      <c r="I721" s="220"/>
      <c r="J721" s="220"/>
    </row>
    <row r="722" spans="1:10" ht="14.25">
      <c r="A722" s="286"/>
      <c r="B722" s="38">
        <f t="shared" si="17"/>
        <v>0</v>
      </c>
      <c r="I722" s="220"/>
      <c r="J722" s="220"/>
    </row>
    <row r="723" spans="1:10" ht="14.25">
      <c r="A723" s="286"/>
      <c r="B723" s="38">
        <f t="shared" si="17"/>
        <v>0</v>
      </c>
      <c r="I723" s="220"/>
      <c r="J723" s="220"/>
    </row>
    <row r="724" spans="1:10" ht="14.25">
      <c r="A724" s="286"/>
      <c r="B724" s="38">
        <f t="shared" si="17"/>
        <v>0</v>
      </c>
      <c r="I724" s="220"/>
      <c r="J724" s="220"/>
    </row>
    <row r="725" spans="1:10" ht="14.25">
      <c r="A725" s="286"/>
      <c r="B725" s="38">
        <f t="shared" si="17"/>
        <v>0</v>
      </c>
      <c r="I725" s="220"/>
      <c r="J725" s="220"/>
    </row>
    <row r="726" spans="1:10" ht="14.25">
      <c r="A726" s="286"/>
      <c r="B726" s="38">
        <f t="shared" si="17"/>
        <v>0</v>
      </c>
      <c r="I726" s="220"/>
      <c r="J726" s="220"/>
    </row>
    <row r="727" spans="1:10" ht="14.25">
      <c r="A727" s="286"/>
      <c r="B727" s="38">
        <f t="shared" si="17"/>
        <v>0</v>
      </c>
      <c r="I727" s="220"/>
      <c r="J727" s="220"/>
    </row>
    <row r="728" spans="1:10" ht="14.25">
      <c r="A728" s="286"/>
      <c r="B728" s="38">
        <f t="shared" si="17"/>
        <v>0</v>
      </c>
      <c r="I728" s="220"/>
      <c r="J728" s="220"/>
    </row>
    <row r="729" spans="1:10" ht="14.25">
      <c r="A729" s="286"/>
      <c r="B729" s="38">
        <f t="shared" si="17"/>
        <v>0</v>
      </c>
      <c r="I729" s="220"/>
      <c r="J729" s="220"/>
    </row>
    <row r="730" spans="1:10" ht="14.25">
      <c r="A730" s="286"/>
      <c r="B730" s="38">
        <f t="shared" si="17"/>
        <v>0</v>
      </c>
      <c r="I730" s="220"/>
      <c r="J730" s="220"/>
    </row>
    <row r="731" spans="1:10" ht="14.25">
      <c r="A731" s="286"/>
      <c r="B731" s="38">
        <f t="shared" si="17"/>
        <v>0</v>
      </c>
      <c r="I731" s="220"/>
      <c r="J731" s="220"/>
    </row>
    <row r="732" spans="1:10" ht="14.25">
      <c r="A732" s="286"/>
      <c r="B732" s="38">
        <f t="shared" si="17"/>
        <v>0</v>
      </c>
      <c r="I732" s="220"/>
      <c r="J732" s="220"/>
    </row>
    <row r="733" spans="1:10" ht="14.25">
      <c r="A733" s="286"/>
      <c r="B733" s="38">
        <f t="shared" si="17"/>
        <v>0</v>
      </c>
      <c r="I733" s="220"/>
      <c r="J733" s="220"/>
    </row>
    <row r="734" spans="1:10" ht="14.25">
      <c r="A734" s="286"/>
      <c r="B734" s="38">
        <f t="shared" si="17"/>
        <v>0</v>
      </c>
      <c r="I734" s="220"/>
      <c r="J734" s="220"/>
    </row>
    <row r="735" spans="1:10" ht="14.25">
      <c r="A735" s="286"/>
      <c r="B735" s="38">
        <f t="shared" si="17"/>
        <v>0</v>
      </c>
      <c r="I735" s="220"/>
      <c r="J735" s="220"/>
    </row>
    <row r="736" spans="1:10" ht="14.25">
      <c r="A736" s="286"/>
      <c r="B736" s="38">
        <f t="shared" si="17"/>
        <v>0</v>
      </c>
      <c r="I736" s="220"/>
      <c r="J736" s="220"/>
    </row>
    <row r="737" spans="1:10" ht="14.25">
      <c r="A737" s="286"/>
      <c r="B737" s="38">
        <f t="shared" si="17"/>
        <v>0</v>
      </c>
      <c r="I737" s="220"/>
      <c r="J737" s="220"/>
    </row>
    <row r="738" spans="1:10" ht="14.25">
      <c r="A738" s="286"/>
      <c r="B738" s="38">
        <f t="shared" si="17"/>
        <v>0</v>
      </c>
      <c r="I738" s="220"/>
      <c r="J738" s="220"/>
    </row>
    <row r="739" spans="1:10" ht="14.25">
      <c r="A739" s="286"/>
      <c r="B739" s="38">
        <f t="shared" si="17"/>
        <v>0</v>
      </c>
      <c r="I739" s="220"/>
      <c r="J739" s="220"/>
    </row>
    <row r="740" spans="1:10" ht="14.25">
      <c r="A740" s="286"/>
      <c r="B740" s="38">
        <f t="shared" si="17"/>
        <v>0</v>
      </c>
      <c r="I740" s="220"/>
      <c r="J740" s="220"/>
    </row>
    <row r="741" spans="1:10" ht="14.25">
      <c r="A741" s="286"/>
      <c r="B741" s="38">
        <f t="shared" si="17"/>
        <v>0</v>
      </c>
      <c r="I741" s="220"/>
      <c r="J741" s="220"/>
    </row>
    <row r="742" spans="1:10" ht="14.25">
      <c r="A742" s="286"/>
      <c r="B742" s="38">
        <f t="shared" si="17"/>
        <v>0</v>
      </c>
      <c r="I742" s="220"/>
      <c r="J742" s="220"/>
    </row>
    <row r="743" spans="1:10" ht="14.25">
      <c r="A743" s="286"/>
      <c r="B743" s="38">
        <f t="shared" si="17"/>
        <v>0</v>
      </c>
      <c r="I743" s="220"/>
      <c r="J743" s="220"/>
    </row>
    <row r="744" spans="1:10" ht="14.25">
      <c r="A744" s="286"/>
      <c r="B744" s="38">
        <f t="shared" si="17"/>
        <v>0</v>
      </c>
      <c r="I744" s="220"/>
      <c r="J744" s="220"/>
    </row>
    <row r="745" spans="1:10" ht="14.25">
      <c r="A745" s="286"/>
      <c r="B745" s="38">
        <f t="shared" si="17"/>
        <v>0</v>
      </c>
      <c r="I745" s="220"/>
      <c r="J745" s="220"/>
    </row>
    <row r="746" spans="1:10" ht="14.25">
      <c r="A746" s="286"/>
      <c r="B746" s="38">
        <f t="shared" si="17"/>
        <v>0</v>
      </c>
      <c r="I746" s="220"/>
      <c r="J746" s="220"/>
    </row>
    <row r="747" spans="1:10" ht="14.25">
      <c r="A747" s="286"/>
      <c r="B747" s="38">
        <f t="shared" si="17"/>
        <v>0</v>
      </c>
      <c r="I747" s="220"/>
      <c r="J747" s="220"/>
    </row>
    <row r="748" spans="1:10" ht="14.25">
      <c r="A748" s="286"/>
      <c r="B748" s="38">
        <f t="shared" si="17"/>
        <v>0</v>
      </c>
      <c r="I748" s="220"/>
      <c r="J748" s="220"/>
    </row>
    <row r="749" spans="1:10" ht="14.25">
      <c r="A749" s="286"/>
      <c r="B749" s="38">
        <f t="shared" si="17"/>
        <v>0</v>
      </c>
      <c r="I749" s="220"/>
      <c r="J749" s="220"/>
    </row>
    <row r="750" spans="1:10" ht="14.25">
      <c r="A750" s="286"/>
      <c r="B750" s="38">
        <f t="shared" si="17"/>
        <v>0</v>
      </c>
      <c r="I750" s="220"/>
      <c r="J750" s="220"/>
    </row>
    <row r="751" spans="1:10" ht="14.25">
      <c r="A751" s="286"/>
      <c r="B751" s="38">
        <f t="shared" si="17"/>
        <v>0</v>
      </c>
      <c r="I751" s="220"/>
      <c r="J751" s="220"/>
    </row>
    <row r="752" spans="1:10" ht="14.25">
      <c r="A752" s="286"/>
      <c r="B752" s="38">
        <f t="shared" si="17"/>
        <v>0</v>
      </c>
      <c r="I752" s="220"/>
      <c r="J752" s="220"/>
    </row>
    <row r="753" spans="1:10" ht="14.25">
      <c r="A753" s="286"/>
      <c r="B753" s="38">
        <f t="shared" si="17"/>
        <v>0</v>
      </c>
      <c r="I753" s="220"/>
      <c r="J753" s="220"/>
    </row>
    <row r="754" spans="1:10" ht="14.25">
      <c r="A754" s="286"/>
      <c r="B754" s="38">
        <f t="shared" si="17"/>
        <v>0</v>
      </c>
      <c r="I754" s="220"/>
      <c r="J754" s="220"/>
    </row>
    <row r="755" spans="1:10" ht="14.25">
      <c r="A755" s="286"/>
      <c r="B755" s="38">
        <f t="shared" si="17"/>
        <v>0</v>
      </c>
      <c r="J755" s="220"/>
    </row>
    <row r="756" spans="1:10" ht="14.25">
      <c r="A756" s="286"/>
      <c r="B756" s="38">
        <f t="shared" si="17"/>
        <v>0</v>
      </c>
      <c r="J756" s="220"/>
    </row>
    <row r="757" spans="1:10" ht="14.25">
      <c r="A757" s="286"/>
      <c r="B757" s="38">
        <f t="shared" si="17"/>
        <v>0</v>
      </c>
      <c r="J757" s="220"/>
    </row>
    <row r="758" spans="1:10" ht="14.25">
      <c r="A758" s="286"/>
      <c r="B758" s="38">
        <f t="shared" si="17"/>
        <v>0</v>
      </c>
      <c r="J758" s="220"/>
    </row>
    <row r="759" spans="1:10" ht="14.25">
      <c r="A759" s="286"/>
      <c r="B759" s="38">
        <f t="shared" si="17"/>
        <v>0</v>
      </c>
      <c r="J759" s="220"/>
    </row>
    <row r="760" spans="1:10" ht="14.25">
      <c r="A760" s="286"/>
      <c r="B760" s="38">
        <f t="shared" ref="B760:B823" si="18">WEEKNUM(A760)</f>
        <v>0</v>
      </c>
      <c r="J760" s="220"/>
    </row>
    <row r="761" spans="1:10" ht="14.25">
      <c r="A761" s="286"/>
      <c r="B761" s="38">
        <f t="shared" si="18"/>
        <v>0</v>
      </c>
      <c r="J761" s="220"/>
    </row>
    <row r="762" spans="1:10" ht="14.25">
      <c r="A762" s="286"/>
      <c r="B762" s="38">
        <f t="shared" si="18"/>
        <v>0</v>
      </c>
      <c r="J762" s="220"/>
    </row>
    <row r="763" spans="1:10" ht="14.25">
      <c r="A763" s="286"/>
      <c r="B763" s="38">
        <f t="shared" si="18"/>
        <v>0</v>
      </c>
      <c r="J763" s="220"/>
    </row>
    <row r="764" spans="1:10" ht="14.25">
      <c r="A764" s="286"/>
      <c r="B764" s="38">
        <f t="shared" si="18"/>
        <v>0</v>
      </c>
      <c r="J764" s="220"/>
    </row>
    <row r="765" spans="1:10" ht="14.25">
      <c r="A765" s="286"/>
      <c r="B765" s="38">
        <f t="shared" si="18"/>
        <v>0</v>
      </c>
      <c r="J765" s="220"/>
    </row>
    <row r="766" spans="1:10" ht="14.25">
      <c r="A766" s="286"/>
      <c r="B766" s="38">
        <f t="shared" si="18"/>
        <v>0</v>
      </c>
      <c r="J766" s="220"/>
    </row>
    <row r="767" spans="1:10" ht="14.25">
      <c r="A767" s="286"/>
      <c r="B767" s="38">
        <f t="shared" si="18"/>
        <v>0</v>
      </c>
      <c r="J767" s="220"/>
    </row>
    <row r="768" spans="1:10" ht="14.25">
      <c r="A768" s="286"/>
      <c r="B768" s="38">
        <f t="shared" si="18"/>
        <v>0</v>
      </c>
      <c r="J768" s="220"/>
    </row>
    <row r="769" spans="1:10" ht="14.25">
      <c r="A769" s="286"/>
      <c r="B769" s="38">
        <f t="shared" si="18"/>
        <v>0</v>
      </c>
      <c r="J769" s="220"/>
    </row>
    <row r="770" spans="1:10" ht="14.25">
      <c r="A770" s="286"/>
      <c r="B770" s="38">
        <f t="shared" si="18"/>
        <v>0</v>
      </c>
      <c r="J770" s="220"/>
    </row>
    <row r="771" spans="1:10" ht="14.25">
      <c r="A771" s="286"/>
      <c r="J771" s="220"/>
    </row>
    <row r="772" spans="1:10" ht="14.25">
      <c r="A772" s="286"/>
      <c r="J772" s="220"/>
    </row>
    <row r="773" spans="1:10" ht="14.25">
      <c r="A773" s="286"/>
      <c r="J773" s="220"/>
    </row>
    <row r="774" spans="1:10" ht="14.25">
      <c r="A774" s="286"/>
      <c r="J774" s="220"/>
    </row>
    <row r="775" spans="1:10" ht="14.25">
      <c r="A775" s="286"/>
      <c r="J775" s="220"/>
    </row>
    <row r="776" spans="1:10" ht="14.25">
      <c r="A776" s="286"/>
      <c r="J776" s="220"/>
    </row>
    <row r="777" spans="1:10" ht="14.25">
      <c r="J777" s="220"/>
    </row>
    <row r="778" spans="1:10" ht="14.25">
      <c r="J778" s="220"/>
    </row>
    <row r="779" spans="1:10" ht="14.25">
      <c r="J779" s="220"/>
    </row>
    <row r="780" spans="1:10" ht="14.25">
      <c r="J780" s="220"/>
    </row>
    <row r="781" spans="1:10" ht="14.25">
      <c r="J781" s="220"/>
    </row>
    <row r="782" spans="1:10" ht="14.25">
      <c r="J782" s="220"/>
    </row>
    <row r="783" spans="1:10" ht="14.25">
      <c r="J783" s="220"/>
    </row>
    <row r="784" spans="1:10" ht="14.25">
      <c r="J784" s="220"/>
    </row>
    <row r="785" spans="10:10" ht="14.25">
      <c r="J785" s="220"/>
    </row>
    <row r="786" spans="10:10" ht="14.25">
      <c r="J786" s="220"/>
    </row>
    <row r="787" spans="10:10" ht="14.25">
      <c r="J787" s="220"/>
    </row>
    <row r="788" spans="10:10" ht="14.25">
      <c r="J788" s="220"/>
    </row>
    <row r="789" spans="10:10" ht="14.25">
      <c r="J789" s="220"/>
    </row>
    <row r="4811" spans="10:10">
      <c r="J4811" s="38" t="s">
        <v>1417</v>
      </c>
    </row>
  </sheetData>
  <autoFilter ref="A1:K147" xr:uid="{E18C4E4C-0B2F-4914-9AC1-F1DA39CF698C}"/>
  <conditionalFormatting sqref="D1:D75 D164:D1048576">
    <cfRule type="cellIs" dxfId="151" priority="390" operator="equal">
      <formula>"Mohamed Radwan"</formula>
    </cfRule>
    <cfRule type="cellIs" dxfId="150" priority="389" operator="equal">
      <formula>"Abdelrahman El-Kaffas"</formula>
    </cfRule>
  </conditionalFormatting>
  <conditionalFormatting sqref="F2:F209 J2:J209">
    <cfRule type="containsText" dxfId="149" priority="423" operator="containsText" text="Office">
      <formula>NOT(ISERROR(SEARCH("Office",F2)))</formula>
    </cfRule>
  </conditionalFormatting>
  <conditionalFormatting sqref="F2:F209">
    <cfRule type="containsText" dxfId="148" priority="424" operator="containsText" text="Online">
      <formula>NOT(ISERROR(SEARCH("Online",F2)))</formula>
    </cfRule>
    <cfRule type="containsText" dxfId="147" priority="422" operator="containsText" text="Hunting">
      <formula>NOT(ISERROR(SEARCH("Hunting",F2)))</formula>
    </cfRule>
    <cfRule type="containsText" dxfId="146" priority="421" operator="containsText" text="F2F">
      <formula>NOT(ISERROR(SEARCH("F2F",F2)))</formula>
    </cfRule>
    <cfRule type="containsText" dxfId="145" priority="420" operator="containsText" text="Call">
      <formula>NOT(ISERROR(SEARCH("Call",F2)))</formula>
    </cfRule>
  </conditionalFormatting>
  <conditionalFormatting sqref="F210:F248 F263:F588">
    <cfRule type="expression" dxfId="144" priority="443">
      <formula>F210="Online Meeting"</formula>
    </cfRule>
    <cfRule type="expression" dxfId="143" priority="442">
      <formula>F210="Office Stuff"</formula>
    </cfRule>
    <cfRule type="expression" dxfId="142" priority="441">
      <formula>F210="Hunting"</formula>
    </cfRule>
    <cfRule type="expression" dxfId="141" priority="440">
      <formula>F210="F2F Meeting"</formula>
    </cfRule>
    <cfRule type="expression" dxfId="140" priority="439">
      <formula>F210="Call"</formula>
    </cfRule>
  </conditionalFormatting>
  <conditionalFormatting sqref="F256:F261">
    <cfRule type="expression" dxfId="139" priority="327">
      <formula>F256="Call"</formula>
    </cfRule>
    <cfRule type="expression" dxfId="138" priority="328">
      <formula>F256="F2F Meeting"</formula>
    </cfRule>
    <cfRule type="expression" dxfId="137" priority="329">
      <formula>F256="Hunting"</formula>
    </cfRule>
    <cfRule type="expression" dxfId="136" priority="330">
      <formula>F256="Office Stuff"</formula>
    </cfRule>
    <cfRule type="expression" dxfId="135" priority="331">
      <formula>F256="Online Meeting"</formula>
    </cfRule>
  </conditionalFormatting>
  <conditionalFormatting sqref="H2:H209">
    <cfRule type="containsText" dxfId="134" priority="426" operator="containsText" text="Tender">
      <formula>NOT(ISERROR(SEARCH("Tender",H2)))</formula>
    </cfRule>
    <cfRule type="containsText" dxfId="133" priority="425" operator="containsText" text="In Hand">
      <formula>NOT(ISERROR(SEARCH("In Hand",H2)))</formula>
    </cfRule>
  </conditionalFormatting>
  <conditionalFormatting sqref="H210:H248 H263:H588">
    <cfRule type="expression" dxfId="132" priority="445">
      <formula>H210="Tender"</formula>
    </cfRule>
    <cfRule type="expression" dxfId="131" priority="444">
      <formula>H210="In Hand"</formula>
    </cfRule>
  </conditionalFormatting>
  <conditionalFormatting sqref="I2:I209 I270:I754">
    <cfRule type="containsText" dxfId="130" priority="428" operator="containsText" text="Negotiation">
      <formula>NOT(ISERROR(SEARCH("Negotiation",I2)))</formula>
    </cfRule>
    <cfRule type="containsText" dxfId="129" priority="432" operator="containsText" text="Hold">
      <formula>NOT(ISERROR(SEARCH("Hold",I2)))</formula>
    </cfRule>
    <cfRule type="containsText" dxfId="128" priority="431" operator="containsText" text="Send">
      <formula>NOT(ISERROR(SEARCH("Send",I2)))</formula>
    </cfRule>
    <cfRule type="containsText" dxfId="127" priority="430" operator="containsText" text="Lost">
      <formula>NOT(ISERROR(SEARCH("Lost",I2)))</formula>
    </cfRule>
    <cfRule type="containsText" dxfId="126" priority="429" operator="containsText" text="Gather">
      <formula>NOT(ISERROR(SEARCH("Gather",I2)))</formula>
    </cfRule>
    <cfRule type="containsText" dxfId="125" priority="427" operator="containsText" text="RFQ">
      <formula>NOT(ISERROR(SEARCH("RFQ",I2)))</formula>
    </cfRule>
  </conditionalFormatting>
  <conditionalFormatting sqref="I210:I248">
    <cfRule type="expression" dxfId="124" priority="449">
      <formula>I210="Lost"</formula>
    </cfRule>
    <cfRule type="expression" dxfId="123" priority="446">
      <formula>ISNUMBER(SEARCH("RFQ",I210))</formula>
    </cfRule>
    <cfRule type="expression" dxfId="122" priority="447">
      <formula>I210="Negotiation"</formula>
    </cfRule>
    <cfRule type="expression" dxfId="121" priority="448">
      <formula>ISNUMBER(SEARCH("Gather",I210))</formula>
    </cfRule>
    <cfRule type="expression" dxfId="120" priority="450">
      <formula>I210="Hold"</formula>
    </cfRule>
    <cfRule type="expression" dxfId="119" priority="451">
      <formula>ISNUMBER(SEARCH("Send",I210))</formula>
    </cfRule>
  </conditionalFormatting>
  <conditionalFormatting sqref="I256:I260">
    <cfRule type="containsText" dxfId="118" priority="265" operator="containsText" text="RFQ">
      <formula>NOT(ISERROR(SEARCH("RFQ",I256)))</formula>
    </cfRule>
    <cfRule type="containsText" dxfId="117" priority="266" operator="containsText" text="Negotiation">
      <formula>NOT(ISERROR(SEARCH("Negotiation",I256)))</formula>
    </cfRule>
    <cfRule type="containsText" dxfId="116" priority="267" operator="containsText" text="Gather">
      <formula>NOT(ISERROR(SEARCH("Gather",I256)))</formula>
    </cfRule>
    <cfRule type="containsText" dxfId="115" priority="269" operator="containsText" text="Send">
      <formula>NOT(ISERROR(SEARCH("Send",I256)))</formula>
    </cfRule>
    <cfRule type="containsText" dxfId="114" priority="270" operator="containsText" text="Hold">
      <formula>NOT(ISERROR(SEARCH("Hold",I256)))</formula>
    </cfRule>
    <cfRule type="containsText" dxfId="113" priority="268" operator="containsText" text="Lost">
      <formula>NOT(ISERROR(SEARCH("Lost",I256)))</formula>
    </cfRule>
  </conditionalFormatting>
  <conditionalFormatting sqref="I263:I267">
    <cfRule type="containsText" dxfId="112" priority="247" operator="containsText" text="RFQ">
      <formula>NOT(ISERROR(SEARCH("RFQ",I263)))</formula>
    </cfRule>
    <cfRule type="containsText" dxfId="111" priority="252" operator="containsText" text="Hold">
      <formula>NOT(ISERROR(SEARCH("Hold",I263)))</formula>
    </cfRule>
    <cfRule type="containsText" dxfId="110" priority="251" operator="containsText" text="Send">
      <formula>NOT(ISERROR(SEARCH("Send",I263)))</formula>
    </cfRule>
    <cfRule type="containsText" dxfId="109" priority="250" operator="containsText" text="Lost">
      <formula>NOT(ISERROR(SEARCH("Lost",I263)))</formula>
    </cfRule>
    <cfRule type="containsText" dxfId="108" priority="249" operator="containsText" text="Gather">
      <formula>NOT(ISERROR(SEARCH("Gather",I263)))</formula>
    </cfRule>
    <cfRule type="containsText" dxfId="107" priority="248" operator="containsText" text="Negotiation">
      <formula>NOT(ISERROR(SEARCH("Negotiation",I263)))</formula>
    </cfRule>
  </conditionalFormatting>
  <conditionalFormatting sqref="J2:J209">
    <cfRule type="containsText" dxfId="106" priority="437" operator="containsText" text="Khobar">
      <formula>NOT(ISERROR(SEARCH("Khobar",J2)))</formula>
    </cfRule>
    <cfRule type="containsText" dxfId="105" priority="433" operator="containsText" text="Jeddah">
      <formula>NOT(ISERROR(SEARCH("Jeddah",J2)))</formula>
    </cfRule>
    <cfRule type="containsText" dxfId="104" priority="434" operator="containsText" text="Makkah">
      <formula>NOT(ISERROR(SEARCH("Makkah",J2)))</formula>
    </cfRule>
    <cfRule type="containsText" dxfId="103" priority="435" operator="containsText" text="Madin">
      <formula>NOT(ISERROR(SEARCH("Madin",J2)))</formula>
    </cfRule>
    <cfRule type="containsText" dxfId="102" priority="436" operator="containsText" text="Riyadh">
      <formula>NOT(ISERROR(SEARCH("Riyadh",J2)))</formula>
    </cfRule>
    <cfRule type="containsText" dxfId="101" priority="438" operator="containsText" text="RedSea">
      <formula>NOT(ISERROR(SEARCH("RedSea",J2)))</formula>
    </cfRule>
  </conditionalFormatting>
  <conditionalFormatting sqref="J210:J248">
    <cfRule type="expression" dxfId="100" priority="454">
      <formula>OR(J210="Madinah",J210="Madena")</formula>
    </cfRule>
    <cfRule type="expression" dxfId="99" priority="455">
      <formula>J210="Riyadh"</formula>
    </cfRule>
    <cfRule type="expression" dxfId="98" priority="456">
      <formula>J210="Khobar"</formula>
    </cfRule>
    <cfRule type="expression" dxfId="97" priority="457">
      <formula>J210="RedSea"</formula>
    </cfRule>
    <cfRule type="expression" dxfId="96" priority="458">
      <formula>J210="Office"</formula>
    </cfRule>
    <cfRule type="expression" dxfId="95" priority="453">
      <formula>J210="Makkah"</formula>
    </cfRule>
    <cfRule type="expression" dxfId="94" priority="452">
      <formula>J210="Jeddah"</formula>
    </cfRule>
  </conditionalFormatting>
  <conditionalFormatting sqref="J264:J267 J283:J789">
    <cfRule type="containsText" dxfId="93" priority="210" operator="containsText" text="Riyadh">
      <formula>NOT(ISERROR(SEARCH("Riyadh",J264)))</formula>
    </cfRule>
    <cfRule type="containsText" dxfId="92" priority="207" operator="containsText" text="Jeddah">
      <formula>NOT(ISERROR(SEARCH("Jeddah",J264)))</formula>
    </cfRule>
    <cfRule type="containsText" dxfId="91" priority="206" operator="containsText" text="Office">
      <formula>NOT(ISERROR(SEARCH("Office",J264)))</formula>
    </cfRule>
    <cfRule type="containsText" dxfId="90" priority="212" operator="containsText" text="RedSea">
      <formula>NOT(ISERROR(SEARCH("RedSea",J264)))</formula>
    </cfRule>
    <cfRule type="containsText" dxfId="89" priority="211" operator="containsText" text="Khobar">
      <formula>NOT(ISERROR(SEARCH("Khobar",J264)))</formula>
    </cfRule>
    <cfRule type="containsText" dxfId="88" priority="209" operator="containsText" text="Madin">
      <formula>NOT(ISERROR(SEARCH("Madin",J264)))</formula>
    </cfRule>
    <cfRule type="containsText" dxfId="87" priority="208" operator="containsText" text="Makkah">
      <formula>NOT(ISERROR(SEARCH("Makkah",J264)))</formula>
    </cfRule>
  </conditionalFormatting>
  <conditionalFormatting sqref="J270:J276">
    <cfRule type="containsText" dxfId="86" priority="58" operator="containsText" text="Jeddah">
      <formula>NOT(ISERROR(SEARCH("Jeddah",J270)))</formula>
    </cfRule>
    <cfRule type="containsText" dxfId="85" priority="59" operator="containsText" text="Makkah">
      <formula>NOT(ISERROR(SEARCH("Makkah",J270)))</formula>
    </cfRule>
    <cfRule type="containsText" dxfId="84" priority="60" operator="containsText" text="Madin">
      <formula>NOT(ISERROR(SEARCH("Madin",J270)))</formula>
    </cfRule>
    <cfRule type="containsText" dxfId="83" priority="61" operator="containsText" text="Riyadh">
      <formula>NOT(ISERROR(SEARCH("Riyadh",J270)))</formula>
    </cfRule>
    <cfRule type="containsText" dxfId="82" priority="57" operator="containsText" text="Office">
      <formula>NOT(ISERROR(SEARCH("Office",J270)))</formula>
    </cfRule>
    <cfRule type="containsText" dxfId="81" priority="63" operator="containsText" text="RedSea">
      <formula>NOT(ISERROR(SEARCH("RedSea",J270)))</formula>
    </cfRule>
    <cfRule type="containsText" dxfId="80" priority="62" operator="containsText" text="Khobar">
      <formula>NOT(ISERROR(SEARCH("Khobar",J270)))</formula>
    </cfRule>
  </conditionalFormatting>
  <conditionalFormatting sqref="J281">
    <cfRule type="containsText" dxfId="79" priority="205" operator="containsText" text="RedSea">
      <formula>NOT(ISERROR(SEARCH("RedSea",J281)))</formula>
    </cfRule>
    <cfRule type="containsText" dxfId="78" priority="203" operator="containsText" text="Riyadh">
      <formula>NOT(ISERROR(SEARCH("Riyadh",J281)))</formula>
    </cfRule>
    <cfRule type="containsText" dxfId="77" priority="202" operator="containsText" text="Madin">
      <formula>NOT(ISERROR(SEARCH("Madin",J281)))</formula>
    </cfRule>
    <cfRule type="containsText" dxfId="76" priority="200" operator="containsText" text="Jeddah">
      <formula>NOT(ISERROR(SEARCH("Jeddah",J281)))</formula>
    </cfRule>
    <cfRule type="containsText" dxfId="75" priority="199" operator="containsText" text="Office">
      <formula>NOT(ISERROR(SEARCH("Office",J281)))</formula>
    </cfRule>
    <cfRule type="containsText" dxfId="74" priority="204" operator="containsText" text="Khobar">
      <formula>NOT(ISERROR(SEARCH("Khobar",J281)))</formula>
    </cfRule>
    <cfRule type="containsText" dxfId="73" priority="201" operator="containsText" text="Makkah">
      <formula>NOT(ISERROR(SEARCH("Makkah",J281)))</formula>
    </cfRule>
  </conditionalFormatting>
  <dataValidations count="2">
    <dataValidation type="date" allowBlank="1" showInputMessage="1" showErrorMessage="1" sqref="A2:A75 L2:L75" xr:uid="{99C9FFCD-97A2-4F29-BC21-D913AE3E920B}">
      <formula1>46023</formula1>
      <formula2>46388</formula2>
    </dataValidation>
    <dataValidation allowBlank="1" showInputMessage="1" showErrorMessage="1" sqref="C316:C321 C294:C299 C309:C314 C164:C292 C323:C328 C301:C307 C330:C377 B2:B1048576 C379:C1048576" xr:uid="{780FB55C-76A8-49C1-A657-755B3A35C31F}"/>
  </dataValidations>
  <hyperlinks>
    <hyperlink ref="K304" r:id="rId1" xr:uid="{A990EA1F-871D-4532-AC5C-9BA9BF9A3D78}"/>
    <hyperlink ref="K305" r:id="rId2" xr:uid="{7CC74C66-F553-48C5-BFA1-FA26843B7D01}"/>
    <hyperlink ref="K306" r:id="rId3" xr:uid="{B71B66B5-EFD2-46A1-AAD0-7E0FC82EB11D}"/>
    <hyperlink ref="K313" r:id="rId4" display="https://maps.app.goo.gl/Nb7YNbDuJ735697aA " xr:uid="{343C1002-99D7-4D32-9E7A-0A8C952A1C1C}"/>
    <hyperlink ref="K325" r:id="rId5" display="https://maps.app.goo.gl/pAsUh62vPnTL9hSL9" xr:uid="{B30A7E1F-F499-4F85-A8DE-60FA4F69B148}"/>
    <hyperlink ref="K327" r:id="rId6" xr:uid="{9DF5E021-26A1-42E0-A4FC-8B3DB7756220}"/>
    <hyperlink ref="K326" r:id="rId7" xr:uid="{61B84FB3-9631-4563-A97F-0A98EC36AF94}"/>
    <hyperlink ref="K374" r:id="rId8" xr:uid="{27A391D6-D10B-42C5-8DBF-EFBC7B538A61}"/>
    <hyperlink ref="K376" r:id="rId9" xr:uid="{0C5BB377-E4C6-4396-90B0-2FF30E58DC5A}"/>
    <hyperlink ref="K375" r:id="rId10" xr:uid="{9BD468C4-36B7-44E2-A0FE-1B5DCB75C667}"/>
    <hyperlink ref="K381" r:id="rId11" xr:uid="{8FF2125E-4797-4A88-A24C-FDC374BABB14}"/>
    <hyperlink ref="K382" r:id="rId12" xr:uid="{474700E6-A65C-4192-9A46-F1919AA31F3F}"/>
    <hyperlink ref="K384" r:id="rId13" xr:uid="{D31034A3-65E7-4633-89E5-6CE04BB301E2}"/>
    <hyperlink ref="K383" r:id="rId14" xr:uid="{6075702B-C54B-4847-86F0-4BC6DF9BD9A3}"/>
    <hyperlink ref="K395" r:id="rId15" xr:uid="{728DD7E6-46AB-4AF8-AE1B-3DC59188F0C7}"/>
    <hyperlink ref="K396" r:id="rId16" xr:uid="{1CFBA483-1EE6-4A56-8FEC-CC2D0A9E5BA2}"/>
    <hyperlink ref="K397" r:id="rId17" xr:uid="{EE95EC4C-9D9D-444A-A479-DF9410E40753}"/>
    <hyperlink ref="K437" r:id="rId18" xr:uid="{CC6DDF75-F53F-402D-ACCC-1C3538A2AABF}"/>
    <hyperlink ref="K418" r:id="rId19" xr:uid="{A16C9EC3-52DE-409E-ABBD-CDBD7B8350C8}"/>
    <hyperlink ref="K419" r:id="rId20" xr:uid="{6638623D-7E06-4AE8-AD3A-FE1DEF843337}"/>
    <hyperlink ref="K466" r:id="rId21" xr:uid="{B3A27D68-2F9F-49B3-B31E-71340E024F1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5E9CFE8-BDE8-4F0A-BA24-0CE061784CFF}">
          <x14:formula1>
            <xm:f>'Data Validation'!$C$2:$C$32</xm:f>
          </x14:formula1>
          <xm:sqref>J2:J75 J264:J267 J270:J276 J281 J283:J789</xm:sqref>
        </x14:dataValidation>
        <x14:dataValidation type="list" allowBlank="1" showInputMessage="1" showErrorMessage="1" xr:uid="{EE124796-57B7-4F85-8EDC-99DE0690263C}">
          <x14:formula1>
            <xm:f>'Data Validation'!$B$2:$B$13</xm:f>
          </x14:formula1>
          <xm:sqref>I2:I75 I263:I267 I256:I260 I270:I754</xm:sqref>
        </x14:dataValidation>
        <x14:dataValidation type="list" allowBlank="1" showInputMessage="1" showErrorMessage="1" xr:uid="{C8762F72-3AA5-44BC-AC42-DB19E12F2FC0}">
          <x14:formula1>
            <xm:f>'Data Validation'!$F$2:$F$11</xm:f>
          </x14:formula1>
          <xm:sqref>E2:E75 E164:E1048576</xm:sqref>
        </x14:dataValidation>
        <x14:dataValidation type="list" allowBlank="1" showInputMessage="1" showErrorMessage="1" xr:uid="{06918259-272E-4758-9C32-452BD11BB98A}">
          <x14:formula1>
            <xm:f>'Data Validation'!$K$2:$K$7</xm:f>
          </x14:formula1>
          <xm:sqref>F2:F75 F164:F1048576</xm:sqref>
        </x14:dataValidation>
        <x14:dataValidation type="list" allowBlank="1" showInputMessage="1" showErrorMessage="1" xr:uid="{A0374ACF-258D-4AA6-BA38-DB220BD780C6}">
          <x14:formula1>
            <xm:f>'Data Validation'!$E$2:$E$7</xm:f>
          </x14:formula1>
          <xm:sqref>G2:G75 G164:G1048576</xm:sqref>
        </x14:dataValidation>
        <x14:dataValidation type="list" allowBlank="1" showInputMessage="1" showErrorMessage="1" xr:uid="{2760F2FA-A986-4D41-A8CB-8446FA04855E}">
          <x14:formula1>
            <xm:f>'Data Validation'!$A$2:$A$4</xm:f>
          </x14:formula1>
          <xm:sqref>I12:I13 H2:H75 H164:H1048576</xm:sqref>
        </x14:dataValidation>
        <x14:dataValidation type="list" allowBlank="1" showInputMessage="1" showErrorMessage="1" xr:uid="{0BD14753-36B4-4DF8-B0F4-0592F95E228C}">
          <x14:formula1>
            <xm:f>'Hot Leads'!$A$2:$A$1041</xm:f>
          </x14:formula1>
          <xm:sqref>D2:D75 D164:D1048576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E6D5-05E5-4601-B820-72E5E5134252}">
  <sheetPr filterMode="1"/>
  <dimension ref="A1:M1001"/>
  <sheetViews>
    <sheetView topLeftCell="A945" workbookViewId="0">
      <selection activeCell="A949" sqref="A949"/>
    </sheetView>
  </sheetViews>
  <sheetFormatPr defaultColWidth="9.140625" defaultRowHeight="12.75"/>
  <cols>
    <col min="1" max="2" width="9.140625" style="38"/>
    <col min="3" max="3" width="17" style="39" customWidth="1"/>
    <col min="4" max="4" width="27" style="38" bestFit="1" customWidth="1"/>
    <col min="5" max="5" width="16" style="38" bestFit="1" customWidth="1"/>
    <col min="6" max="6" width="13.7109375" style="38" bestFit="1" customWidth="1"/>
    <col min="7" max="7" width="17" style="38" customWidth="1"/>
    <col min="8" max="8" width="12.28515625" style="38" bestFit="1" customWidth="1"/>
    <col min="9" max="9" width="22.28515625" style="38" bestFit="1" customWidth="1"/>
    <col min="10" max="10" width="14.5703125" style="38" bestFit="1" customWidth="1"/>
    <col min="11" max="11" width="21.140625" style="39" customWidth="1"/>
    <col min="12" max="12" width="14" style="38" bestFit="1" customWidth="1"/>
    <col min="13" max="13" width="20.42578125" style="39" customWidth="1"/>
    <col min="14" max="16384" width="9.140625" style="38"/>
  </cols>
  <sheetData>
    <row r="1" spans="1:13">
      <c r="A1" s="62" t="s">
        <v>906</v>
      </c>
      <c r="B1" s="62" t="s">
        <v>115</v>
      </c>
      <c r="C1" s="63" t="s">
        <v>90</v>
      </c>
      <c r="D1" s="62" t="s">
        <v>907</v>
      </c>
      <c r="E1" s="62" t="s">
        <v>908</v>
      </c>
      <c r="F1" s="62" t="s">
        <v>909</v>
      </c>
      <c r="G1" s="62" t="s">
        <v>910</v>
      </c>
      <c r="H1" s="64" t="s">
        <v>193</v>
      </c>
      <c r="I1" s="64" t="s">
        <v>911</v>
      </c>
      <c r="J1" s="64" t="s">
        <v>194</v>
      </c>
      <c r="K1" s="63" t="s">
        <v>912</v>
      </c>
      <c r="L1" s="62" t="s">
        <v>198</v>
      </c>
      <c r="M1" s="63" t="s">
        <v>913</v>
      </c>
    </row>
    <row r="2" spans="1:13" ht="63.75">
      <c r="A2" s="40">
        <v>46139</v>
      </c>
      <c r="B2" s="38">
        <f>WEEKNUM(A2)</f>
        <v>18</v>
      </c>
      <c r="D2" s="38" t="s">
        <v>502</v>
      </c>
      <c r="E2" s="50" t="s">
        <v>1260</v>
      </c>
      <c r="F2" s="38" t="s">
        <v>915</v>
      </c>
      <c r="G2" s="38" t="s">
        <v>1264</v>
      </c>
      <c r="H2" s="38" t="s">
        <v>466</v>
      </c>
      <c r="I2" s="38" t="s">
        <v>466</v>
      </c>
      <c r="J2" s="38" t="s">
        <v>1418</v>
      </c>
      <c r="K2" s="39" t="s">
        <v>1419</v>
      </c>
      <c r="L2" s="40">
        <v>46140</v>
      </c>
      <c r="M2" s="39" t="s">
        <v>1420</v>
      </c>
    </row>
    <row r="3" spans="1:13" ht="25.5">
      <c r="A3" s="40">
        <v>46139</v>
      </c>
      <c r="B3" s="38">
        <f t="shared" ref="B3:B70" si="0">WEEKNUM(A3)</f>
        <v>18</v>
      </c>
      <c r="C3" s="39" t="s">
        <v>1140</v>
      </c>
      <c r="D3" s="38" t="s">
        <v>498</v>
      </c>
      <c r="E3" s="38" t="s">
        <v>1260</v>
      </c>
      <c r="F3" s="38" t="s">
        <v>915</v>
      </c>
      <c r="G3" s="38" t="s">
        <v>916</v>
      </c>
      <c r="H3" s="38" t="s">
        <v>30</v>
      </c>
      <c r="I3" s="38" t="s">
        <v>32</v>
      </c>
      <c r="J3" s="38" t="s">
        <v>37</v>
      </c>
      <c r="K3" s="39" t="s">
        <v>1421</v>
      </c>
      <c r="L3" s="40">
        <v>46142</v>
      </c>
      <c r="M3" s="39" t="s">
        <v>1422</v>
      </c>
    </row>
    <row r="4" spans="1:13" ht="25.5">
      <c r="A4" s="40">
        <v>46139</v>
      </c>
      <c r="B4" s="38">
        <f t="shared" si="0"/>
        <v>18</v>
      </c>
      <c r="C4" s="39" t="s">
        <v>1423</v>
      </c>
      <c r="D4" s="38" t="s">
        <v>513</v>
      </c>
      <c r="E4" s="38" t="s">
        <v>1296</v>
      </c>
      <c r="F4" s="38" t="s">
        <v>926</v>
      </c>
      <c r="G4" s="38" t="s">
        <v>991</v>
      </c>
      <c r="H4" s="38" t="s">
        <v>30</v>
      </c>
      <c r="I4" s="38" t="s">
        <v>225</v>
      </c>
      <c r="J4" s="38" t="s">
        <v>34</v>
      </c>
      <c r="K4" s="39" t="s">
        <v>516</v>
      </c>
      <c r="L4" s="40"/>
    </row>
    <row r="5" spans="1:13" ht="22.5" customHeight="1">
      <c r="A5" s="40">
        <v>46139</v>
      </c>
      <c r="B5" s="38">
        <f t="shared" si="0"/>
        <v>18</v>
      </c>
      <c r="C5" s="39" t="s">
        <v>1424</v>
      </c>
      <c r="D5" s="38" t="s">
        <v>517</v>
      </c>
      <c r="E5" s="38" t="s">
        <v>1296</v>
      </c>
      <c r="F5" s="38" t="s">
        <v>926</v>
      </c>
      <c r="G5" s="38" t="s">
        <v>991</v>
      </c>
      <c r="H5" s="38" t="s">
        <v>30</v>
      </c>
      <c r="I5" s="38" t="s">
        <v>225</v>
      </c>
      <c r="J5" s="38" t="s">
        <v>34</v>
      </c>
      <c r="K5" s="39" t="s">
        <v>516</v>
      </c>
      <c r="L5" s="40"/>
    </row>
    <row r="6" spans="1:13" ht="51">
      <c r="A6" s="40">
        <v>46139</v>
      </c>
      <c r="B6" s="38">
        <f t="shared" si="0"/>
        <v>18</v>
      </c>
      <c r="C6" s="39" t="s">
        <v>1425</v>
      </c>
      <c r="D6" s="38" t="s">
        <v>518</v>
      </c>
      <c r="E6" s="38" t="s">
        <v>1284</v>
      </c>
      <c r="F6" s="38" t="s">
        <v>926</v>
      </c>
      <c r="G6" s="38" t="s">
        <v>991</v>
      </c>
      <c r="H6" s="38" t="s">
        <v>30</v>
      </c>
      <c r="I6" s="38" t="s">
        <v>225</v>
      </c>
      <c r="J6" s="38" t="s">
        <v>34</v>
      </c>
      <c r="K6" s="39" t="s">
        <v>523</v>
      </c>
      <c r="L6" s="40"/>
    </row>
    <row r="7" spans="1:13" ht="89.25">
      <c r="A7" s="40">
        <v>46139</v>
      </c>
      <c r="B7" s="38">
        <f t="shared" si="0"/>
        <v>18</v>
      </c>
      <c r="C7" s="39" t="s">
        <v>1426</v>
      </c>
      <c r="D7" s="38" t="s">
        <v>524</v>
      </c>
      <c r="E7" s="38" t="s">
        <v>1266</v>
      </c>
      <c r="F7" s="38" t="s">
        <v>926</v>
      </c>
      <c r="G7" s="38" t="s">
        <v>991</v>
      </c>
      <c r="H7" s="38" t="s">
        <v>30</v>
      </c>
      <c r="I7" s="38" t="s">
        <v>225</v>
      </c>
      <c r="J7" s="38" t="s">
        <v>34</v>
      </c>
      <c r="K7" s="39" t="s">
        <v>526</v>
      </c>
      <c r="L7" s="40"/>
    </row>
    <row r="8" spans="1:13" ht="63.75">
      <c r="A8" s="40">
        <v>46139</v>
      </c>
      <c r="B8" s="38">
        <f t="shared" si="0"/>
        <v>18</v>
      </c>
      <c r="C8" s="39" t="s">
        <v>994</v>
      </c>
      <c r="D8" s="38" t="s">
        <v>527</v>
      </c>
      <c r="E8" s="38" t="s">
        <v>1278</v>
      </c>
      <c r="F8" s="38" t="s">
        <v>915</v>
      </c>
      <c r="G8" s="38" t="s">
        <v>991</v>
      </c>
      <c r="H8" s="38" t="s">
        <v>30</v>
      </c>
      <c r="I8" s="38" t="s">
        <v>225</v>
      </c>
      <c r="J8" s="38" t="s">
        <v>34</v>
      </c>
      <c r="K8" s="39" t="s">
        <v>529</v>
      </c>
      <c r="L8" s="40"/>
    </row>
    <row r="9" spans="1:13">
      <c r="A9" s="40">
        <v>46139</v>
      </c>
      <c r="B9" s="38">
        <f t="shared" si="0"/>
        <v>18</v>
      </c>
      <c r="E9" s="38" t="s">
        <v>1280</v>
      </c>
      <c r="F9" s="38" t="s">
        <v>990</v>
      </c>
      <c r="H9" s="38" t="s">
        <v>466</v>
      </c>
      <c r="I9" s="38" t="s">
        <v>466</v>
      </c>
      <c r="J9" s="38" t="s">
        <v>34</v>
      </c>
      <c r="K9" s="39" t="s">
        <v>1427</v>
      </c>
      <c r="L9" s="40"/>
    </row>
    <row r="10" spans="1:13" ht="25.5">
      <c r="A10" s="40">
        <v>46139</v>
      </c>
      <c r="B10" s="38">
        <f t="shared" si="0"/>
        <v>18</v>
      </c>
      <c r="D10" s="38" t="s">
        <v>530</v>
      </c>
      <c r="E10" s="38" t="s">
        <v>1269</v>
      </c>
      <c r="F10" s="38" t="s">
        <v>915</v>
      </c>
      <c r="K10" s="39" t="s">
        <v>1428</v>
      </c>
      <c r="L10" s="40"/>
    </row>
    <row r="11" spans="1:13" hidden="1">
      <c r="A11" s="58"/>
      <c r="B11" s="59">
        <f t="shared" si="0"/>
        <v>0</v>
      </c>
      <c r="C11" s="60"/>
      <c r="D11" s="59"/>
      <c r="E11" s="59"/>
      <c r="F11" s="59"/>
      <c r="G11" s="59"/>
      <c r="H11" s="59"/>
      <c r="I11" s="59"/>
      <c r="J11" s="59"/>
      <c r="K11" s="60"/>
      <c r="L11" s="58"/>
    </row>
    <row r="12" spans="1:13" ht="76.5">
      <c r="A12" s="40">
        <v>46140</v>
      </c>
      <c r="B12" s="38">
        <f t="shared" si="0"/>
        <v>18</v>
      </c>
      <c r="C12" s="39" t="s">
        <v>1429</v>
      </c>
      <c r="D12" s="38" t="s">
        <v>66</v>
      </c>
      <c r="E12" s="38" t="s">
        <v>1260</v>
      </c>
      <c r="F12" s="38" t="s">
        <v>915</v>
      </c>
      <c r="G12" s="38" t="s">
        <v>916</v>
      </c>
      <c r="H12" s="38" t="s">
        <v>30</v>
      </c>
      <c r="I12" s="38" t="s">
        <v>225</v>
      </c>
      <c r="J12" s="38" t="s">
        <v>31</v>
      </c>
      <c r="K12" s="39" t="s">
        <v>1430</v>
      </c>
      <c r="L12" s="40">
        <v>46141</v>
      </c>
    </row>
    <row r="13" spans="1:13" ht="76.5">
      <c r="A13" s="40">
        <v>46140</v>
      </c>
      <c r="B13" s="38">
        <f t="shared" si="0"/>
        <v>18</v>
      </c>
      <c r="C13" s="39" t="s">
        <v>1429</v>
      </c>
      <c r="D13" s="38" t="s">
        <v>1431</v>
      </c>
      <c r="E13" s="38" t="s">
        <v>1260</v>
      </c>
      <c r="F13" s="38" t="s">
        <v>915</v>
      </c>
      <c r="G13" s="38" t="s">
        <v>916</v>
      </c>
      <c r="H13" s="38" t="s">
        <v>30</v>
      </c>
      <c r="I13" s="38" t="s">
        <v>225</v>
      </c>
      <c r="J13" s="38" t="s">
        <v>31</v>
      </c>
      <c r="K13" s="39" t="s">
        <v>1430</v>
      </c>
      <c r="L13" s="40">
        <v>46141</v>
      </c>
    </row>
    <row r="14" spans="1:13" ht="89.25">
      <c r="A14" s="40">
        <v>46140</v>
      </c>
      <c r="B14" s="38">
        <f t="shared" si="0"/>
        <v>18</v>
      </c>
      <c r="C14" s="39" t="s">
        <v>1432</v>
      </c>
      <c r="D14" s="38" t="s">
        <v>64</v>
      </c>
      <c r="E14" s="38" t="s">
        <v>1263</v>
      </c>
      <c r="F14" s="38" t="s">
        <v>915</v>
      </c>
      <c r="G14" s="38" t="s">
        <v>991</v>
      </c>
      <c r="H14" s="38" t="s">
        <v>30</v>
      </c>
      <c r="I14" s="38" t="s">
        <v>225</v>
      </c>
      <c r="J14" s="38" t="s">
        <v>31</v>
      </c>
      <c r="K14" s="39" t="s">
        <v>1433</v>
      </c>
      <c r="L14" s="40">
        <v>46142</v>
      </c>
      <c r="M14" s="39" t="s">
        <v>1434</v>
      </c>
    </row>
    <row r="15" spans="1:13" ht="51">
      <c r="A15" s="40">
        <v>46140</v>
      </c>
      <c r="B15" s="38">
        <f t="shared" si="0"/>
        <v>18</v>
      </c>
      <c r="C15" s="39" t="s">
        <v>535</v>
      </c>
      <c r="D15" s="38" t="s">
        <v>76</v>
      </c>
      <c r="E15" s="38" t="s">
        <v>1266</v>
      </c>
      <c r="F15" s="38" t="s">
        <v>915</v>
      </c>
      <c r="G15" s="38" t="s">
        <v>916</v>
      </c>
      <c r="H15" s="38" t="s">
        <v>466</v>
      </c>
      <c r="I15" s="38" t="s">
        <v>466</v>
      </c>
      <c r="J15" s="38" t="s">
        <v>31</v>
      </c>
      <c r="K15" s="39" t="s">
        <v>537</v>
      </c>
      <c r="L15" s="40">
        <v>46145</v>
      </c>
      <c r="M15" s="61" t="s">
        <v>1435</v>
      </c>
    </row>
    <row r="16" spans="1:13" ht="51">
      <c r="A16" s="40">
        <v>46140</v>
      </c>
      <c r="B16" s="38">
        <f t="shared" si="0"/>
        <v>18</v>
      </c>
      <c r="C16" s="39" t="s">
        <v>1436</v>
      </c>
      <c r="E16" s="38" t="s">
        <v>1278</v>
      </c>
      <c r="F16" s="38" t="s">
        <v>990</v>
      </c>
      <c r="G16" s="38" t="s">
        <v>943</v>
      </c>
      <c r="H16" s="38" t="s">
        <v>466</v>
      </c>
      <c r="I16" s="38" t="s">
        <v>466</v>
      </c>
      <c r="J16" s="38" t="s">
        <v>34</v>
      </c>
      <c r="K16" s="39" t="s">
        <v>1437</v>
      </c>
      <c r="L16" s="40"/>
    </row>
    <row r="17" spans="1:13">
      <c r="A17" s="40">
        <v>46140</v>
      </c>
      <c r="B17" s="38">
        <f t="shared" si="0"/>
        <v>18</v>
      </c>
      <c r="E17" s="38" t="s">
        <v>1278</v>
      </c>
      <c r="F17" s="38" t="s">
        <v>961</v>
      </c>
      <c r="K17" s="39" t="s">
        <v>1438</v>
      </c>
      <c r="L17" s="40"/>
    </row>
    <row r="18" spans="1:13" hidden="1">
      <c r="A18" s="58"/>
      <c r="B18" s="59">
        <f t="shared" si="0"/>
        <v>0</v>
      </c>
      <c r="C18" s="60"/>
      <c r="D18" s="59"/>
      <c r="E18" s="59"/>
      <c r="F18" s="59"/>
      <c r="G18" s="59"/>
      <c r="H18" s="59"/>
      <c r="I18" s="59"/>
      <c r="J18" s="59"/>
      <c r="K18" s="60"/>
      <c r="L18" s="58"/>
    </row>
    <row r="19" spans="1:13" ht="51">
      <c r="A19" s="40">
        <v>46141</v>
      </c>
      <c r="B19" s="38">
        <f t="shared" si="0"/>
        <v>18</v>
      </c>
      <c r="C19" s="39" t="s">
        <v>1429</v>
      </c>
      <c r="D19" s="38" t="s">
        <v>66</v>
      </c>
      <c r="E19" s="38" t="s">
        <v>1260</v>
      </c>
      <c r="F19" s="38" t="s">
        <v>926</v>
      </c>
      <c r="G19" s="38" t="s">
        <v>916</v>
      </c>
      <c r="H19" s="38" t="s">
        <v>30</v>
      </c>
      <c r="I19" s="38" t="s">
        <v>225</v>
      </c>
      <c r="J19" s="38" t="s">
        <v>31</v>
      </c>
      <c r="K19" s="39" t="s">
        <v>1439</v>
      </c>
      <c r="L19" s="40">
        <v>46144</v>
      </c>
      <c r="M19" s="39" t="s">
        <v>1440</v>
      </c>
    </row>
    <row r="20" spans="1:13" ht="51">
      <c r="A20" s="40">
        <v>46141</v>
      </c>
      <c r="B20" s="38">
        <f t="shared" si="0"/>
        <v>18</v>
      </c>
      <c r="C20" s="39" t="s">
        <v>552</v>
      </c>
      <c r="D20" s="38" t="s">
        <v>551</v>
      </c>
      <c r="E20" s="38" t="s">
        <v>1296</v>
      </c>
      <c r="F20" s="38" t="s">
        <v>926</v>
      </c>
      <c r="G20" s="38" t="s">
        <v>991</v>
      </c>
      <c r="H20" s="38" t="s">
        <v>466</v>
      </c>
      <c r="I20" s="38" t="s">
        <v>466</v>
      </c>
      <c r="J20" s="38" t="s">
        <v>31</v>
      </c>
      <c r="K20" s="39" t="s">
        <v>555</v>
      </c>
      <c r="L20" s="40"/>
    </row>
    <row r="21" spans="1:13" ht="89.25">
      <c r="A21" s="40">
        <v>46141</v>
      </c>
      <c r="B21" s="38">
        <f t="shared" si="0"/>
        <v>18</v>
      </c>
      <c r="C21" s="39" t="s">
        <v>1441</v>
      </c>
      <c r="D21" s="38" t="s">
        <v>538</v>
      </c>
      <c r="E21" s="38" t="s">
        <v>1284</v>
      </c>
      <c r="F21" s="38" t="s">
        <v>1442</v>
      </c>
      <c r="G21" s="38" t="s">
        <v>943</v>
      </c>
      <c r="H21" s="38" t="s">
        <v>466</v>
      </c>
      <c r="I21" s="38" t="s">
        <v>466</v>
      </c>
      <c r="J21" s="38" t="s">
        <v>31</v>
      </c>
      <c r="K21" s="39" t="s">
        <v>1443</v>
      </c>
      <c r="L21" s="40"/>
    </row>
    <row r="22" spans="1:13" ht="51">
      <c r="A22" s="40">
        <v>46141</v>
      </c>
      <c r="B22" s="38">
        <f t="shared" si="0"/>
        <v>18</v>
      </c>
      <c r="C22" s="39" t="s">
        <v>1265</v>
      </c>
      <c r="D22" s="38" t="s">
        <v>543</v>
      </c>
      <c r="E22" s="38" t="s">
        <v>1269</v>
      </c>
      <c r="F22" s="38" t="s">
        <v>926</v>
      </c>
      <c r="G22" s="38" t="s">
        <v>943</v>
      </c>
      <c r="H22" s="38" t="s">
        <v>466</v>
      </c>
      <c r="I22" s="38" t="s">
        <v>466</v>
      </c>
      <c r="J22" s="38" t="s">
        <v>31</v>
      </c>
      <c r="K22" s="39" t="s">
        <v>1444</v>
      </c>
      <c r="L22" s="40">
        <v>46139</v>
      </c>
    </row>
    <row r="23" spans="1:13" hidden="1">
      <c r="A23" s="58"/>
      <c r="B23" s="59">
        <f t="shared" si="0"/>
        <v>0</v>
      </c>
      <c r="C23" s="60"/>
      <c r="D23" s="59"/>
      <c r="E23" s="59"/>
      <c r="F23" s="59"/>
      <c r="G23" s="59"/>
      <c r="H23" s="59"/>
      <c r="I23" s="59"/>
      <c r="J23" s="59"/>
      <c r="K23" s="60"/>
      <c r="L23" s="58"/>
    </row>
    <row r="24" spans="1:13" ht="25.5">
      <c r="A24" s="40">
        <v>46142</v>
      </c>
      <c r="B24" s="38">
        <f t="shared" si="0"/>
        <v>18</v>
      </c>
      <c r="C24" s="39" t="s">
        <v>1429</v>
      </c>
      <c r="D24" s="38" t="s">
        <v>66</v>
      </c>
      <c r="E24" s="38" t="s">
        <v>1260</v>
      </c>
      <c r="F24" s="38" t="s">
        <v>915</v>
      </c>
      <c r="G24" s="38" t="s">
        <v>916</v>
      </c>
      <c r="H24" s="38" t="s">
        <v>30</v>
      </c>
      <c r="I24" s="38" t="s">
        <v>225</v>
      </c>
      <c r="J24" s="38" t="s">
        <v>31</v>
      </c>
      <c r="K24" s="39" t="s">
        <v>1445</v>
      </c>
      <c r="L24" s="40">
        <v>46145</v>
      </c>
      <c r="M24" s="39" t="s">
        <v>918</v>
      </c>
    </row>
    <row r="25" spans="1:13" ht="25.5">
      <c r="A25" s="40">
        <v>46142</v>
      </c>
      <c r="B25" s="38">
        <f t="shared" si="0"/>
        <v>18</v>
      </c>
      <c r="C25" s="39" t="s">
        <v>1446</v>
      </c>
      <c r="E25" s="38" t="s">
        <v>1263</v>
      </c>
      <c r="K25" s="39" t="s">
        <v>1447</v>
      </c>
      <c r="L25" s="40"/>
    </row>
    <row r="26" spans="1:13" ht="38.25">
      <c r="A26" s="40">
        <v>46142</v>
      </c>
      <c r="B26" s="38">
        <f t="shared" si="0"/>
        <v>18</v>
      </c>
      <c r="E26" s="38" t="s">
        <v>1280</v>
      </c>
      <c r="F26" s="38" t="s">
        <v>961</v>
      </c>
      <c r="K26" s="39" t="s">
        <v>1448</v>
      </c>
      <c r="L26" s="40"/>
    </row>
    <row r="27" spans="1:13" ht="63.75">
      <c r="A27" s="40">
        <v>46142</v>
      </c>
      <c r="B27" s="38">
        <f t="shared" si="0"/>
        <v>18</v>
      </c>
      <c r="C27" s="39" t="s">
        <v>1449</v>
      </c>
      <c r="D27" s="38" t="s">
        <v>82</v>
      </c>
      <c r="E27" s="38" t="s">
        <v>1280</v>
      </c>
      <c r="F27" s="38" t="s">
        <v>915</v>
      </c>
      <c r="G27" s="38" t="s">
        <v>1264</v>
      </c>
      <c r="H27" s="38" t="s">
        <v>466</v>
      </c>
      <c r="I27" s="38" t="s">
        <v>466</v>
      </c>
      <c r="K27" s="39" t="s">
        <v>557</v>
      </c>
      <c r="L27" s="40">
        <v>46149</v>
      </c>
    </row>
    <row r="28" spans="1:13" ht="51">
      <c r="A28" s="40">
        <v>46142</v>
      </c>
      <c r="B28" s="38">
        <f t="shared" si="0"/>
        <v>18</v>
      </c>
      <c r="C28" s="39" t="s">
        <v>558</v>
      </c>
      <c r="D28" s="38" t="s">
        <v>83</v>
      </c>
      <c r="E28" s="38" t="s">
        <v>1280</v>
      </c>
      <c r="F28" s="38" t="s">
        <v>915</v>
      </c>
      <c r="G28" s="38" t="s">
        <v>1264</v>
      </c>
      <c r="H28" s="38" t="s">
        <v>466</v>
      </c>
      <c r="I28" s="38" t="s">
        <v>466</v>
      </c>
      <c r="K28" s="39" t="s">
        <v>1450</v>
      </c>
      <c r="L28" s="40">
        <v>46149</v>
      </c>
      <c r="M28" s="39" t="s">
        <v>1451</v>
      </c>
    </row>
    <row r="29" spans="1:13" ht="38.25">
      <c r="A29" s="40">
        <v>46142</v>
      </c>
      <c r="B29" s="38">
        <f t="shared" si="0"/>
        <v>18</v>
      </c>
      <c r="C29" s="39" t="s">
        <v>561</v>
      </c>
      <c r="D29" s="38" t="s">
        <v>560</v>
      </c>
      <c r="E29" s="38" t="s">
        <v>1280</v>
      </c>
      <c r="F29" s="38" t="s">
        <v>915</v>
      </c>
      <c r="G29" s="38" t="s">
        <v>1264</v>
      </c>
      <c r="H29" s="38" t="s">
        <v>466</v>
      </c>
      <c r="I29" s="38" t="s">
        <v>466</v>
      </c>
      <c r="K29" s="39" t="s">
        <v>562</v>
      </c>
      <c r="L29" s="40"/>
    </row>
    <row r="30" spans="1:13" ht="38.25">
      <c r="A30" s="40">
        <v>46142</v>
      </c>
      <c r="B30" s="38">
        <f t="shared" si="0"/>
        <v>18</v>
      </c>
      <c r="C30" s="39" t="s">
        <v>921</v>
      </c>
      <c r="D30" s="38" t="s">
        <v>68</v>
      </c>
      <c r="E30" s="38" t="s">
        <v>1280</v>
      </c>
      <c r="F30" s="38" t="s">
        <v>915</v>
      </c>
      <c r="G30" s="38" t="s">
        <v>1264</v>
      </c>
      <c r="H30" s="38" t="s">
        <v>466</v>
      </c>
      <c r="I30" s="38" t="s">
        <v>466</v>
      </c>
      <c r="J30" s="38" t="s">
        <v>31</v>
      </c>
      <c r="K30" s="39" t="s">
        <v>566</v>
      </c>
      <c r="L30" s="40">
        <v>46145</v>
      </c>
      <c r="M30" s="39" t="s">
        <v>1452</v>
      </c>
    </row>
    <row r="31" spans="1:13" hidden="1">
      <c r="A31" s="58"/>
      <c r="B31" s="59">
        <f t="shared" si="0"/>
        <v>0</v>
      </c>
      <c r="C31" s="60"/>
      <c r="D31" s="59"/>
      <c r="E31" s="59"/>
      <c r="F31" s="59"/>
      <c r="G31" s="59"/>
      <c r="H31" s="59"/>
      <c r="I31" s="59"/>
      <c r="J31" s="59"/>
      <c r="K31" s="60"/>
      <c r="L31" s="58"/>
      <c r="M31" s="60"/>
    </row>
    <row r="32" spans="1:13" ht="25.5">
      <c r="A32" s="40">
        <v>46144</v>
      </c>
      <c r="B32" s="38">
        <f t="shared" si="0"/>
        <v>18</v>
      </c>
      <c r="C32" s="39" t="s">
        <v>1453</v>
      </c>
      <c r="D32" s="38" t="s">
        <v>206</v>
      </c>
      <c r="E32" s="38" t="s">
        <v>1260</v>
      </c>
      <c r="F32" s="38" t="s">
        <v>915</v>
      </c>
      <c r="G32" s="38" t="s">
        <v>916</v>
      </c>
      <c r="H32" s="38" t="s">
        <v>33</v>
      </c>
      <c r="I32" s="38" t="s">
        <v>41</v>
      </c>
      <c r="J32" s="38" t="s">
        <v>31</v>
      </c>
      <c r="K32" s="39" t="s">
        <v>1454</v>
      </c>
      <c r="L32" s="40">
        <v>46145</v>
      </c>
      <c r="M32" s="39" t="s">
        <v>1455</v>
      </c>
    </row>
    <row r="33" spans="1:13" ht="51">
      <c r="A33" s="40">
        <v>46144</v>
      </c>
      <c r="B33" s="38">
        <f t="shared" si="0"/>
        <v>18</v>
      </c>
      <c r="C33" s="39" t="s">
        <v>921</v>
      </c>
      <c r="D33" s="38" t="s">
        <v>74</v>
      </c>
      <c r="E33" s="38" t="s">
        <v>1260</v>
      </c>
      <c r="F33" s="38" t="s">
        <v>915</v>
      </c>
      <c r="G33" s="38" t="s">
        <v>916</v>
      </c>
      <c r="H33" s="38" t="s">
        <v>33</v>
      </c>
      <c r="I33" s="38" t="s">
        <v>32</v>
      </c>
      <c r="J33" s="38" t="s">
        <v>31</v>
      </c>
      <c r="K33" s="39" t="s">
        <v>1454</v>
      </c>
      <c r="L33" s="40">
        <v>46146</v>
      </c>
      <c r="M33" s="39" t="s">
        <v>1456</v>
      </c>
    </row>
    <row r="34" spans="1:13" ht="38.25">
      <c r="A34" s="40">
        <v>46144</v>
      </c>
      <c r="B34" s="38">
        <f t="shared" si="0"/>
        <v>18</v>
      </c>
      <c r="C34" s="39" t="s">
        <v>1457</v>
      </c>
      <c r="D34" s="38" t="s">
        <v>543</v>
      </c>
      <c r="E34" s="38" t="s">
        <v>1260</v>
      </c>
      <c r="F34" s="38" t="s">
        <v>915</v>
      </c>
      <c r="G34" s="38" t="s">
        <v>916</v>
      </c>
      <c r="H34" s="38" t="s">
        <v>466</v>
      </c>
      <c r="I34" s="38" t="s">
        <v>466</v>
      </c>
      <c r="J34" s="38" t="s">
        <v>31</v>
      </c>
      <c r="K34" s="39" t="s">
        <v>1458</v>
      </c>
      <c r="L34" s="40">
        <v>46147</v>
      </c>
    </row>
    <row r="35" spans="1:13" ht="63.75">
      <c r="A35" s="40">
        <v>46144</v>
      </c>
      <c r="B35" s="38">
        <f t="shared" si="0"/>
        <v>18</v>
      </c>
      <c r="C35" s="39" t="s">
        <v>1459</v>
      </c>
      <c r="D35" s="38" t="s">
        <v>569</v>
      </c>
      <c r="E35" s="38" t="s">
        <v>1263</v>
      </c>
      <c r="F35" s="38" t="s">
        <v>915</v>
      </c>
      <c r="G35" s="38" t="s">
        <v>1264</v>
      </c>
      <c r="H35" s="38" t="s">
        <v>30</v>
      </c>
      <c r="I35" s="38" t="s">
        <v>1460</v>
      </c>
      <c r="J35" s="38" t="s">
        <v>42</v>
      </c>
      <c r="K35" s="39" t="s">
        <v>572</v>
      </c>
      <c r="L35" s="40">
        <v>46145</v>
      </c>
      <c r="M35" s="39" t="s">
        <v>1461</v>
      </c>
    </row>
    <row r="36" spans="1:13" ht="38.25">
      <c r="A36" s="40">
        <v>46144</v>
      </c>
      <c r="B36" s="38">
        <f t="shared" si="0"/>
        <v>18</v>
      </c>
      <c r="C36" s="39" t="s">
        <v>930</v>
      </c>
      <c r="D36" s="38" t="s">
        <v>574</v>
      </c>
      <c r="E36" s="38" t="s">
        <v>1263</v>
      </c>
      <c r="F36" s="38" t="s">
        <v>915</v>
      </c>
      <c r="G36" s="38" t="s">
        <v>1264</v>
      </c>
      <c r="H36" s="38" t="s">
        <v>466</v>
      </c>
      <c r="I36" s="38" t="s">
        <v>466</v>
      </c>
      <c r="K36" s="39" t="s">
        <v>1462</v>
      </c>
      <c r="L36" s="40">
        <v>46145</v>
      </c>
      <c r="M36" s="39" t="s">
        <v>1463</v>
      </c>
    </row>
    <row r="37" spans="1:13" ht="76.5">
      <c r="A37" s="40">
        <v>46144</v>
      </c>
      <c r="B37" s="38">
        <f t="shared" si="0"/>
        <v>18</v>
      </c>
      <c r="C37" s="39" t="s">
        <v>1464</v>
      </c>
      <c r="D37" s="38" t="s">
        <v>463</v>
      </c>
      <c r="E37" s="38" t="s">
        <v>1296</v>
      </c>
      <c r="F37" s="38" t="s">
        <v>915</v>
      </c>
      <c r="G37" s="38" t="s">
        <v>916</v>
      </c>
      <c r="H37" s="38" t="s">
        <v>30</v>
      </c>
      <c r="I37" s="38" t="s">
        <v>225</v>
      </c>
      <c r="J37" s="38" t="s">
        <v>40</v>
      </c>
      <c r="K37" s="39" t="s">
        <v>1465</v>
      </c>
      <c r="L37" s="40"/>
      <c r="M37" s="39" t="s">
        <v>1466</v>
      </c>
    </row>
    <row r="38" spans="1:13" ht="51">
      <c r="A38" s="40">
        <v>46144</v>
      </c>
      <c r="B38" s="38">
        <f t="shared" si="0"/>
        <v>18</v>
      </c>
      <c r="C38" s="39" t="s">
        <v>416</v>
      </c>
      <c r="D38" s="38" t="s">
        <v>582</v>
      </c>
      <c r="E38" s="38" t="s">
        <v>1296</v>
      </c>
      <c r="F38" s="38" t="s">
        <v>915</v>
      </c>
      <c r="G38" s="38" t="s">
        <v>916</v>
      </c>
      <c r="H38" s="38" t="s">
        <v>30</v>
      </c>
      <c r="I38" s="38" t="s">
        <v>36</v>
      </c>
      <c r="K38" s="39" t="s">
        <v>1467</v>
      </c>
      <c r="L38" s="40">
        <v>46145</v>
      </c>
      <c r="M38" s="39" t="s">
        <v>1468</v>
      </c>
    </row>
    <row r="39" spans="1:13" ht="63.75">
      <c r="A39" s="40">
        <v>46144</v>
      </c>
      <c r="B39" s="38">
        <f t="shared" si="0"/>
        <v>18</v>
      </c>
      <c r="E39" s="38" t="s">
        <v>1296</v>
      </c>
      <c r="F39" s="38" t="s">
        <v>961</v>
      </c>
      <c r="K39" s="39" t="s">
        <v>1469</v>
      </c>
      <c r="L39" s="40"/>
    </row>
    <row r="40" spans="1:13" ht="63.75">
      <c r="A40" s="40">
        <v>46144</v>
      </c>
      <c r="B40" s="38">
        <f t="shared" si="0"/>
        <v>18</v>
      </c>
      <c r="C40" s="39" t="s">
        <v>436</v>
      </c>
      <c r="D40" s="38" t="s">
        <v>502</v>
      </c>
      <c r="E40" s="38" t="s">
        <v>1284</v>
      </c>
      <c r="F40" s="38" t="s">
        <v>915</v>
      </c>
      <c r="G40" s="38" t="s">
        <v>916</v>
      </c>
      <c r="H40" s="38" t="s">
        <v>466</v>
      </c>
      <c r="I40" s="38" t="s">
        <v>466</v>
      </c>
      <c r="K40" s="39" t="s">
        <v>1470</v>
      </c>
      <c r="L40" s="40">
        <v>46145</v>
      </c>
      <c r="M40" s="39" t="s">
        <v>1471</v>
      </c>
    </row>
    <row r="41" spans="1:13" ht="51">
      <c r="A41" s="40">
        <v>46144</v>
      </c>
      <c r="B41" s="38">
        <f t="shared" si="0"/>
        <v>18</v>
      </c>
      <c r="C41" s="39" t="s">
        <v>1472</v>
      </c>
      <c r="D41" s="38" t="s">
        <v>933</v>
      </c>
      <c r="E41" s="38" t="s">
        <v>1284</v>
      </c>
      <c r="F41" s="38" t="s">
        <v>915</v>
      </c>
      <c r="G41" s="38" t="s">
        <v>1264</v>
      </c>
      <c r="H41" s="38" t="s">
        <v>30</v>
      </c>
      <c r="I41" s="38" t="s">
        <v>225</v>
      </c>
      <c r="J41" s="38" t="s">
        <v>31</v>
      </c>
      <c r="K41" s="39" t="s">
        <v>589</v>
      </c>
      <c r="L41" s="40">
        <v>46145</v>
      </c>
      <c r="M41" s="39" t="s">
        <v>71</v>
      </c>
    </row>
    <row r="42" spans="1:13" ht="63.75">
      <c r="A42" s="40">
        <v>46144</v>
      </c>
      <c r="B42" s="38">
        <f t="shared" si="0"/>
        <v>18</v>
      </c>
      <c r="C42" s="39" t="s">
        <v>223</v>
      </c>
      <c r="D42" s="38" t="s">
        <v>72</v>
      </c>
      <c r="E42" s="38" t="s">
        <v>1266</v>
      </c>
      <c r="F42" s="38" t="s">
        <v>915</v>
      </c>
      <c r="G42" s="38" t="s">
        <v>916</v>
      </c>
      <c r="H42" s="38" t="s">
        <v>30</v>
      </c>
      <c r="I42" s="38" t="s">
        <v>225</v>
      </c>
      <c r="J42" s="38" t="s">
        <v>224</v>
      </c>
      <c r="K42" s="39" t="s">
        <v>593</v>
      </c>
      <c r="L42" s="40">
        <v>46145</v>
      </c>
      <c r="M42" s="39" t="s">
        <v>1473</v>
      </c>
    </row>
    <row r="43" spans="1:13" ht="38.25">
      <c r="A43" s="40">
        <v>46144</v>
      </c>
      <c r="B43" s="38">
        <f t="shared" si="0"/>
        <v>18</v>
      </c>
      <c r="C43" s="39" t="s">
        <v>1474</v>
      </c>
      <c r="D43" s="38" t="s">
        <v>78</v>
      </c>
      <c r="E43" s="38" t="s">
        <v>1266</v>
      </c>
      <c r="F43" s="38" t="s">
        <v>915</v>
      </c>
      <c r="G43" s="38" t="s">
        <v>916</v>
      </c>
      <c r="H43" s="38" t="s">
        <v>30</v>
      </c>
      <c r="I43" s="38" t="s">
        <v>41</v>
      </c>
      <c r="J43" s="38" t="s">
        <v>34</v>
      </c>
      <c r="K43" s="39" t="s">
        <v>596</v>
      </c>
      <c r="L43" s="40">
        <v>46147</v>
      </c>
      <c r="M43" s="39" t="s">
        <v>597</v>
      </c>
    </row>
    <row r="44" spans="1:13" ht="51">
      <c r="A44" s="40">
        <v>46144</v>
      </c>
      <c r="B44" s="38">
        <f t="shared" si="0"/>
        <v>18</v>
      </c>
      <c r="E44" s="38" t="s">
        <v>1280</v>
      </c>
      <c r="F44" s="38" t="s">
        <v>947</v>
      </c>
      <c r="G44" s="38" t="s">
        <v>916</v>
      </c>
      <c r="H44" s="38" t="s">
        <v>466</v>
      </c>
      <c r="I44" s="38" t="s">
        <v>466</v>
      </c>
      <c r="K44" s="39" t="s">
        <v>1475</v>
      </c>
      <c r="L44" s="40"/>
    </row>
    <row r="45" spans="1:13">
      <c r="A45" s="40">
        <v>46144</v>
      </c>
      <c r="B45" s="38">
        <f t="shared" si="0"/>
        <v>18</v>
      </c>
      <c r="E45" s="38" t="s">
        <v>1269</v>
      </c>
      <c r="F45" s="38" t="s">
        <v>947</v>
      </c>
      <c r="G45" s="38" t="s">
        <v>916</v>
      </c>
      <c r="H45" s="38" t="s">
        <v>466</v>
      </c>
      <c r="I45" s="38" t="s">
        <v>466</v>
      </c>
      <c r="L45" s="40"/>
    </row>
    <row r="46" spans="1:13" hidden="1">
      <c r="A46" s="58"/>
      <c r="B46" s="59">
        <f t="shared" si="0"/>
        <v>0</v>
      </c>
      <c r="C46" s="60"/>
      <c r="D46" s="59"/>
      <c r="E46" s="59"/>
      <c r="F46" s="59"/>
      <c r="G46" s="59"/>
      <c r="H46" s="59"/>
      <c r="I46" s="59"/>
      <c r="J46" s="59"/>
      <c r="K46" s="60"/>
      <c r="L46" s="58"/>
      <c r="M46" s="60"/>
    </row>
    <row r="47" spans="1:13" ht="63.75">
      <c r="A47" s="40">
        <v>46145</v>
      </c>
      <c r="B47" s="38">
        <f t="shared" si="0"/>
        <v>19</v>
      </c>
      <c r="C47" s="39" t="s">
        <v>1453</v>
      </c>
      <c r="D47" s="38" t="s">
        <v>206</v>
      </c>
      <c r="E47" s="38" t="s">
        <v>1260</v>
      </c>
      <c r="F47" s="38" t="s">
        <v>915</v>
      </c>
      <c r="G47" s="38" t="s">
        <v>916</v>
      </c>
      <c r="H47" s="38" t="s">
        <v>33</v>
      </c>
      <c r="I47" s="38" t="s">
        <v>35</v>
      </c>
      <c r="J47" s="38" t="s">
        <v>31</v>
      </c>
      <c r="K47" s="39" t="s">
        <v>568</v>
      </c>
      <c r="L47" s="40">
        <v>46145</v>
      </c>
      <c r="M47" s="39" t="s">
        <v>1476</v>
      </c>
    </row>
    <row r="48" spans="1:13" ht="51">
      <c r="A48" s="40">
        <v>46145</v>
      </c>
      <c r="B48" s="38">
        <f t="shared" si="0"/>
        <v>19</v>
      </c>
      <c r="C48" s="39" t="s">
        <v>921</v>
      </c>
      <c r="D48" s="38" t="s">
        <v>68</v>
      </c>
      <c r="E48" s="38" t="s">
        <v>1260</v>
      </c>
      <c r="F48" s="38" t="s">
        <v>915</v>
      </c>
      <c r="G48" s="38" t="s">
        <v>916</v>
      </c>
      <c r="H48" s="38" t="s">
        <v>33</v>
      </c>
      <c r="I48" s="38" t="s">
        <v>41</v>
      </c>
      <c r="J48" s="38" t="s">
        <v>31</v>
      </c>
      <c r="K48" s="39" t="s">
        <v>1477</v>
      </c>
      <c r="L48" s="40">
        <v>46166</v>
      </c>
      <c r="M48" s="39" t="s">
        <v>1478</v>
      </c>
    </row>
    <row r="49" spans="1:13" ht="51">
      <c r="A49" s="40">
        <v>46145</v>
      </c>
      <c r="B49" s="38">
        <f t="shared" si="0"/>
        <v>19</v>
      </c>
      <c r="C49" s="39" t="s">
        <v>1479</v>
      </c>
      <c r="D49" s="38" t="s">
        <v>569</v>
      </c>
      <c r="E49" s="38" t="s">
        <v>1260</v>
      </c>
      <c r="F49" s="38" t="s">
        <v>915</v>
      </c>
      <c r="G49" s="38" t="s">
        <v>916</v>
      </c>
      <c r="H49" s="38" t="s">
        <v>30</v>
      </c>
      <c r="I49" s="38" t="s">
        <v>1460</v>
      </c>
      <c r="J49" s="38" t="s">
        <v>40</v>
      </c>
      <c r="K49" s="39" t="s">
        <v>1480</v>
      </c>
      <c r="L49" s="40"/>
    </row>
    <row r="50" spans="1:13" ht="51">
      <c r="A50" s="40">
        <v>46145</v>
      </c>
      <c r="B50" s="38">
        <f t="shared" si="0"/>
        <v>19</v>
      </c>
      <c r="D50" s="38" t="s">
        <v>574</v>
      </c>
      <c r="E50" s="38" t="s">
        <v>1263</v>
      </c>
      <c r="F50" s="38" t="s">
        <v>915</v>
      </c>
      <c r="G50" s="38" t="s">
        <v>1264</v>
      </c>
      <c r="H50" s="38" t="s">
        <v>466</v>
      </c>
      <c r="I50" s="38" t="s">
        <v>466</v>
      </c>
      <c r="J50" s="38" t="s">
        <v>31</v>
      </c>
      <c r="K50" s="39" t="s">
        <v>1481</v>
      </c>
      <c r="L50" s="40">
        <v>46148</v>
      </c>
      <c r="M50" s="39" t="s">
        <v>1482</v>
      </c>
    </row>
    <row r="51" spans="1:13" ht="63.75">
      <c r="A51" s="40">
        <v>46145</v>
      </c>
      <c r="B51" s="38">
        <f t="shared" si="0"/>
        <v>19</v>
      </c>
      <c r="D51" s="38" t="s">
        <v>598</v>
      </c>
      <c r="E51" s="38" t="s">
        <v>1263</v>
      </c>
      <c r="F51" s="38" t="s">
        <v>915</v>
      </c>
      <c r="G51" s="38" t="s">
        <v>1264</v>
      </c>
      <c r="H51" s="38" t="s">
        <v>30</v>
      </c>
      <c r="I51" s="38" t="s">
        <v>1483</v>
      </c>
      <c r="K51" s="39" t="s">
        <v>599</v>
      </c>
      <c r="L51" s="40">
        <v>46156</v>
      </c>
      <c r="M51" s="39" t="s">
        <v>600</v>
      </c>
    </row>
    <row r="52" spans="1:13" ht="63.75">
      <c r="A52" s="40">
        <v>46145</v>
      </c>
      <c r="B52" s="38">
        <f t="shared" si="0"/>
        <v>19</v>
      </c>
      <c r="C52" s="39" t="s">
        <v>1457</v>
      </c>
      <c r="D52" s="38" t="s">
        <v>76</v>
      </c>
      <c r="E52" s="38" t="s">
        <v>1296</v>
      </c>
      <c r="F52" s="38" t="s">
        <v>915</v>
      </c>
      <c r="G52" s="38" t="s">
        <v>916</v>
      </c>
      <c r="J52" s="38" t="s">
        <v>31</v>
      </c>
      <c r="K52" s="39" t="s">
        <v>1484</v>
      </c>
      <c r="L52" s="40">
        <v>46146</v>
      </c>
      <c r="M52" s="39" t="s">
        <v>1485</v>
      </c>
    </row>
    <row r="53" spans="1:13" ht="51">
      <c r="A53" s="40">
        <v>46145</v>
      </c>
      <c r="B53" s="38">
        <f t="shared" si="0"/>
        <v>19</v>
      </c>
      <c r="C53" s="39" t="s">
        <v>586</v>
      </c>
      <c r="D53" s="38" t="s">
        <v>601</v>
      </c>
      <c r="E53" s="38" t="s">
        <v>1296</v>
      </c>
      <c r="F53" s="38" t="s">
        <v>915</v>
      </c>
      <c r="G53" s="38" t="s">
        <v>916</v>
      </c>
      <c r="H53" s="38" t="s">
        <v>466</v>
      </c>
      <c r="I53" s="38" t="s">
        <v>466</v>
      </c>
      <c r="J53" s="38" t="s">
        <v>31</v>
      </c>
      <c r="K53" s="39" t="s">
        <v>602</v>
      </c>
      <c r="L53" s="40">
        <v>46152</v>
      </c>
      <c r="M53" s="39" t="s">
        <v>603</v>
      </c>
    </row>
    <row r="54" spans="1:13">
      <c r="A54" s="40">
        <v>46145</v>
      </c>
      <c r="B54" s="38">
        <f t="shared" si="0"/>
        <v>19</v>
      </c>
      <c r="C54" s="39" t="s">
        <v>1429</v>
      </c>
      <c r="D54" s="38" t="s">
        <v>66</v>
      </c>
      <c r="E54" s="38" t="s">
        <v>1284</v>
      </c>
      <c r="F54" s="38" t="s">
        <v>947</v>
      </c>
      <c r="G54" s="38" t="s">
        <v>916</v>
      </c>
      <c r="H54" s="38" t="s">
        <v>30</v>
      </c>
      <c r="I54" s="38" t="s">
        <v>32</v>
      </c>
      <c r="J54" s="38" t="s">
        <v>31</v>
      </c>
      <c r="L54" s="40"/>
    </row>
    <row r="55" spans="1:13">
      <c r="A55" s="40">
        <v>46145</v>
      </c>
      <c r="B55" s="38">
        <f t="shared" si="0"/>
        <v>19</v>
      </c>
      <c r="C55" s="39" t="s">
        <v>1429</v>
      </c>
      <c r="D55" s="38" t="s">
        <v>66</v>
      </c>
      <c r="E55" s="38" t="s">
        <v>1266</v>
      </c>
      <c r="F55" s="38" t="s">
        <v>947</v>
      </c>
      <c r="G55" s="38" t="s">
        <v>916</v>
      </c>
      <c r="L55" s="40"/>
    </row>
    <row r="56" spans="1:13" ht="42.75" customHeight="1">
      <c r="A56" s="40">
        <v>46145</v>
      </c>
      <c r="B56" s="38">
        <f t="shared" si="0"/>
        <v>19</v>
      </c>
      <c r="E56" s="38" t="s">
        <v>1278</v>
      </c>
      <c r="F56" s="38" t="s">
        <v>990</v>
      </c>
      <c r="K56" s="39" t="s">
        <v>1486</v>
      </c>
      <c r="L56" s="40"/>
    </row>
    <row r="57" spans="1:13">
      <c r="A57" s="40">
        <v>46145</v>
      </c>
      <c r="B57" s="38">
        <f t="shared" si="0"/>
        <v>19</v>
      </c>
      <c r="E57" s="38" t="s">
        <v>1280</v>
      </c>
      <c r="F57" s="38" t="s">
        <v>990</v>
      </c>
      <c r="L57" s="40"/>
    </row>
    <row r="58" spans="1:13">
      <c r="A58" s="40">
        <v>46145</v>
      </c>
      <c r="B58" s="38">
        <f t="shared" si="0"/>
        <v>19</v>
      </c>
      <c r="E58" s="38" t="s">
        <v>1269</v>
      </c>
      <c r="F58" s="38" t="s">
        <v>990</v>
      </c>
      <c r="L58" s="40"/>
    </row>
    <row r="59" spans="1:13" hidden="1">
      <c r="A59" s="58"/>
      <c r="B59" s="59">
        <f t="shared" si="0"/>
        <v>0</v>
      </c>
      <c r="C59" s="60"/>
      <c r="D59" s="59"/>
      <c r="E59" s="59"/>
      <c r="F59" s="59"/>
      <c r="G59" s="59"/>
      <c r="H59" s="59"/>
      <c r="I59" s="59"/>
      <c r="J59" s="59"/>
      <c r="K59" s="60"/>
      <c r="L59" s="58"/>
    </row>
    <row r="60" spans="1:13">
      <c r="A60" s="40">
        <v>46146</v>
      </c>
      <c r="B60" s="38">
        <f t="shared" si="0"/>
        <v>19</v>
      </c>
      <c r="C60" s="39" t="s">
        <v>1457</v>
      </c>
      <c r="D60" s="38" t="s">
        <v>76</v>
      </c>
      <c r="E60" s="38" t="s">
        <v>1260</v>
      </c>
      <c r="F60" s="38" t="s">
        <v>926</v>
      </c>
      <c r="G60" s="38" t="s">
        <v>916</v>
      </c>
      <c r="H60" s="38" t="s">
        <v>466</v>
      </c>
      <c r="I60" s="38" t="s">
        <v>466</v>
      </c>
      <c r="L60" s="40"/>
    </row>
    <row r="61" spans="1:13">
      <c r="A61" s="40">
        <v>46146</v>
      </c>
      <c r="B61" s="38">
        <f t="shared" si="0"/>
        <v>19</v>
      </c>
      <c r="C61" s="39" t="s">
        <v>1457</v>
      </c>
      <c r="D61" s="38" t="s">
        <v>76</v>
      </c>
      <c r="E61" s="38" t="s">
        <v>1263</v>
      </c>
      <c r="G61" s="38" t="s">
        <v>916</v>
      </c>
      <c r="H61" s="38" t="s">
        <v>466</v>
      </c>
      <c r="I61" s="38" t="s">
        <v>466</v>
      </c>
      <c r="L61" s="40"/>
    </row>
    <row r="62" spans="1:13">
      <c r="A62" s="40">
        <v>46146</v>
      </c>
      <c r="B62" s="38">
        <f t="shared" si="0"/>
        <v>19</v>
      </c>
      <c r="C62" s="39" t="s">
        <v>1457</v>
      </c>
      <c r="D62" s="38" t="s">
        <v>76</v>
      </c>
      <c r="E62" s="38" t="s">
        <v>1296</v>
      </c>
      <c r="G62" s="38" t="s">
        <v>916</v>
      </c>
      <c r="H62" s="38" t="s">
        <v>466</v>
      </c>
      <c r="I62" s="38" t="s">
        <v>466</v>
      </c>
      <c r="L62" s="40"/>
    </row>
    <row r="63" spans="1:13">
      <c r="A63" s="40">
        <v>46146</v>
      </c>
      <c r="B63" s="38">
        <f t="shared" si="0"/>
        <v>19</v>
      </c>
      <c r="E63" s="38" t="s">
        <v>1284</v>
      </c>
      <c r="F63" s="38" t="s">
        <v>990</v>
      </c>
      <c r="K63" s="39" t="s">
        <v>1487</v>
      </c>
      <c r="L63" s="40"/>
    </row>
    <row r="64" spans="1:13" hidden="1">
      <c r="A64" s="40"/>
      <c r="B64" s="38">
        <f t="shared" si="0"/>
        <v>0</v>
      </c>
      <c r="L64" s="40"/>
    </row>
    <row r="65" spans="1:12" hidden="1">
      <c r="A65" s="40"/>
      <c r="B65" s="38">
        <f t="shared" si="0"/>
        <v>0</v>
      </c>
      <c r="L65" s="40"/>
    </row>
    <row r="66" spans="1:12" hidden="1">
      <c r="A66" s="40"/>
      <c r="B66" s="38">
        <f t="shared" si="0"/>
        <v>0</v>
      </c>
      <c r="L66" s="40"/>
    </row>
    <row r="67" spans="1:12" hidden="1">
      <c r="A67" s="40"/>
      <c r="B67" s="38">
        <f t="shared" si="0"/>
        <v>0</v>
      </c>
      <c r="L67" s="40"/>
    </row>
    <row r="68" spans="1:12" hidden="1">
      <c r="A68" s="40"/>
      <c r="B68" s="38">
        <f t="shared" si="0"/>
        <v>0</v>
      </c>
      <c r="L68" s="40"/>
    </row>
    <row r="69" spans="1:12" hidden="1">
      <c r="A69" s="40"/>
      <c r="B69" s="38">
        <f t="shared" si="0"/>
        <v>0</v>
      </c>
      <c r="L69" s="40"/>
    </row>
    <row r="70" spans="1:12" hidden="1">
      <c r="A70" s="40"/>
      <c r="B70" s="38">
        <f t="shared" si="0"/>
        <v>0</v>
      </c>
      <c r="L70" s="40"/>
    </row>
    <row r="71" spans="1:12" hidden="1">
      <c r="A71" s="40"/>
      <c r="B71" s="38">
        <f t="shared" ref="B71:B134" si="1">WEEKNUM(A71)</f>
        <v>0</v>
      </c>
      <c r="L71" s="40"/>
    </row>
    <row r="72" spans="1:12" hidden="1">
      <c r="A72" s="40"/>
      <c r="B72" s="38">
        <f t="shared" si="1"/>
        <v>0</v>
      </c>
      <c r="L72" s="40"/>
    </row>
    <row r="73" spans="1:12" hidden="1">
      <c r="A73" s="40"/>
      <c r="B73" s="38">
        <f t="shared" si="1"/>
        <v>0</v>
      </c>
      <c r="L73" s="40"/>
    </row>
    <row r="74" spans="1:12" hidden="1">
      <c r="A74" s="40"/>
      <c r="B74" s="38">
        <f t="shared" si="1"/>
        <v>0</v>
      </c>
      <c r="L74" s="40"/>
    </row>
    <row r="75" spans="1:12" hidden="1">
      <c r="A75" s="40"/>
      <c r="B75" s="38">
        <f t="shared" si="1"/>
        <v>0</v>
      </c>
      <c r="L75" s="40"/>
    </row>
    <row r="76" spans="1:12" hidden="1">
      <c r="A76" s="40"/>
      <c r="B76" s="38">
        <f t="shared" si="1"/>
        <v>0</v>
      </c>
      <c r="L76" s="40"/>
    </row>
    <row r="77" spans="1:12" hidden="1">
      <c r="A77" s="40"/>
      <c r="B77" s="38">
        <f t="shared" si="1"/>
        <v>0</v>
      </c>
      <c r="L77" s="40"/>
    </row>
    <row r="78" spans="1:12" hidden="1">
      <c r="A78" s="40"/>
      <c r="B78" s="38">
        <f t="shared" si="1"/>
        <v>0</v>
      </c>
      <c r="L78" s="40"/>
    </row>
    <row r="79" spans="1:12" hidden="1">
      <c r="A79" s="40"/>
      <c r="B79" s="38">
        <f t="shared" si="1"/>
        <v>0</v>
      </c>
      <c r="L79" s="40"/>
    </row>
    <row r="80" spans="1:12" hidden="1">
      <c r="A80" s="40"/>
      <c r="B80" s="38">
        <f t="shared" si="1"/>
        <v>0</v>
      </c>
      <c r="L80" s="40"/>
    </row>
    <row r="81" spans="1:12" hidden="1">
      <c r="A81" s="40"/>
      <c r="B81" s="38">
        <f t="shared" si="1"/>
        <v>0</v>
      </c>
      <c r="L81" s="40"/>
    </row>
    <row r="82" spans="1:12" hidden="1">
      <c r="A82" s="40"/>
      <c r="B82" s="38">
        <f t="shared" si="1"/>
        <v>0</v>
      </c>
      <c r="L82" s="40"/>
    </row>
    <row r="83" spans="1:12" hidden="1">
      <c r="A83" s="40"/>
      <c r="B83" s="38">
        <f t="shared" si="1"/>
        <v>0</v>
      </c>
      <c r="L83" s="40"/>
    </row>
    <row r="84" spans="1:12" hidden="1">
      <c r="A84" s="40"/>
      <c r="B84" s="38">
        <f t="shared" si="1"/>
        <v>0</v>
      </c>
      <c r="L84" s="40"/>
    </row>
    <row r="85" spans="1:12" hidden="1">
      <c r="A85" s="40"/>
      <c r="B85" s="38">
        <f t="shared" si="1"/>
        <v>0</v>
      </c>
      <c r="L85" s="40"/>
    </row>
    <row r="86" spans="1:12" hidden="1">
      <c r="A86" s="40"/>
      <c r="B86" s="38">
        <f t="shared" si="1"/>
        <v>0</v>
      </c>
      <c r="L86" s="40"/>
    </row>
    <row r="87" spans="1:12" hidden="1">
      <c r="A87" s="40"/>
      <c r="B87" s="38">
        <f t="shared" si="1"/>
        <v>0</v>
      </c>
      <c r="L87" s="40"/>
    </row>
    <row r="88" spans="1:12" hidden="1">
      <c r="A88" s="40"/>
      <c r="B88" s="38">
        <f t="shared" si="1"/>
        <v>0</v>
      </c>
      <c r="L88" s="40"/>
    </row>
    <row r="89" spans="1:12" hidden="1">
      <c r="A89" s="40"/>
      <c r="B89" s="38">
        <f t="shared" si="1"/>
        <v>0</v>
      </c>
      <c r="L89" s="40"/>
    </row>
    <row r="90" spans="1:12" hidden="1">
      <c r="A90" s="40"/>
      <c r="B90" s="38">
        <f t="shared" si="1"/>
        <v>0</v>
      </c>
      <c r="L90" s="40"/>
    </row>
    <row r="91" spans="1:12" hidden="1">
      <c r="A91" s="40"/>
      <c r="B91" s="38">
        <f t="shared" si="1"/>
        <v>0</v>
      </c>
      <c r="L91" s="40"/>
    </row>
    <row r="92" spans="1:12" hidden="1">
      <c r="A92" s="40"/>
      <c r="B92" s="38">
        <f t="shared" si="1"/>
        <v>0</v>
      </c>
      <c r="L92" s="40"/>
    </row>
    <row r="93" spans="1:12" hidden="1">
      <c r="A93" s="40"/>
      <c r="B93" s="38">
        <f t="shared" si="1"/>
        <v>0</v>
      </c>
      <c r="L93" s="40"/>
    </row>
    <row r="94" spans="1:12" hidden="1">
      <c r="A94" s="40"/>
      <c r="B94" s="38">
        <f t="shared" si="1"/>
        <v>0</v>
      </c>
      <c r="L94" s="40"/>
    </row>
    <row r="95" spans="1:12" hidden="1">
      <c r="A95" s="40"/>
      <c r="B95" s="38">
        <f t="shared" si="1"/>
        <v>0</v>
      </c>
      <c r="L95" s="40"/>
    </row>
    <row r="96" spans="1:12" hidden="1">
      <c r="A96" s="40"/>
      <c r="B96" s="38">
        <f t="shared" si="1"/>
        <v>0</v>
      </c>
      <c r="L96" s="40"/>
    </row>
    <row r="97" spans="1:12" hidden="1">
      <c r="A97" s="40"/>
      <c r="B97" s="38">
        <f t="shared" si="1"/>
        <v>0</v>
      </c>
      <c r="L97" s="40"/>
    </row>
    <row r="98" spans="1:12" hidden="1">
      <c r="A98" s="40"/>
      <c r="B98" s="38">
        <f t="shared" si="1"/>
        <v>0</v>
      </c>
      <c r="L98" s="40"/>
    </row>
    <row r="99" spans="1:12" hidden="1">
      <c r="A99" s="40"/>
      <c r="B99" s="38">
        <f t="shared" si="1"/>
        <v>0</v>
      </c>
      <c r="L99" s="40"/>
    </row>
    <row r="100" spans="1:12" hidden="1">
      <c r="A100" s="40"/>
      <c r="B100" s="38">
        <f t="shared" si="1"/>
        <v>0</v>
      </c>
      <c r="L100" s="40"/>
    </row>
    <row r="101" spans="1:12" hidden="1">
      <c r="A101" s="40"/>
      <c r="B101" s="38">
        <f t="shared" si="1"/>
        <v>0</v>
      </c>
      <c r="L101" s="40"/>
    </row>
    <row r="102" spans="1:12" hidden="1">
      <c r="A102" s="40"/>
      <c r="B102" s="38">
        <f t="shared" si="1"/>
        <v>0</v>
      </c>
      <c r="L102" s="40"/>
    </row>
    <row r="103" spans="1:12" hidden="1">
      <c r="A103" s="40"/>
      <c r="B103" s="38">
        <f t="shared" si="1"/>
        <v>0</v>
      </c>
      <c r="L103" s="40"/>
    </row>
    <row r="104" spans="1:12" hidden="1">
      <c r="A104" s="40"/>
      <c r="B104" s="38">
        <f t="shared" si="1"/>
        <v>0</v>
      </c>
      <c r="L104" s="40"/>
    </row>
    <row r="105" spans="1:12" hidden="1">
      <c r="A105" s="40"/>
      <c r="B105" s="38">
        <f t="shared" si="1"/>
        <v>0</v>
      </c>
      <c r="L105" s="40"/>
    </row>
    <row r="106" spans="1:12" hidden="1">
      <c r="A106" s="40"/>
      <c r="B106" s="38">
        <f t="shared" si="1"/>
        <v>0</v>
      </c>
      <c r="L106" s="40"/>
    </row>
    <row r="107" spans="1:12" hidden="1">
      <c r="A107" s="40"/>
      <c r="B107" s="38">
        <f t="shared" si="1"/>
        <v>0</v>
      </c>
      <c r="L107" s="40"/>
    </row>
    <row r="108" spans="1:12" hidden="1">
      <c r="A108" s="40"/>
      <c r="B108" s="38">
        <f t="shared" si="1"/>
        <v>0</v>
      </c>
      <c r="L108" s="40"/>
    </row>
    <row r="109" spans="1:12" hidden="1">
      <c r="A109" s="40"/>
      <c r="B109" s="38">
        <f t="shared" si="1"/>
        <v>0</v>
      </c>
      <c r="L109" s="40"/>
    </row>
    <row r="110" spans="1:12" hidden="1">
      <c r="A110" s="40"/>
      <c r="B110" s="38">
        <f t="shared" si="1"/>
        <v>0</v>
      </c>
      <c r="L110" s="40"/>
    </row>
    <row r="111" spans="1:12" hidden="1">
      <c r="A111" s="40"/>
      <c r="B111" s="38">
        <f t="shared" si="1"/>
        <v>0</v>
      </c>
      <c r="L111" s="40"/>
    </row>
    <row r="112" spans="1:12" hidden="1">
      <c r="A112" s="40"/>
      <c r="B112" s="38">
        <f t="shared" si="1"/>
        <v>0</v>
      </c>
      <c r="L112" s="40"/>
    </row>
    <row r="113" spans="1:12" hidden="1">
      <c r="A113" s="40"/>
      <c r="B113" s="38">
        <f t="shared" si="1"/>
        <v>0</v>
      </c>
      <c r="L113" s="40"/>
    </row>
    <row r="114" spans="1:12" hidden="1">
      <c r="A114" s="40"/>
      <c r="B114" s="38">
        <f t="shared" si="1"/>
        <v>0</v>
      </c>
      <c r="L114" s="40"/>
    </row>
    <row r="115" spans="1:12" hidden="1">
      <c r="A115" s="40"/>
      <c r="B115" s="38">
        <f t="shared" si="1"/>
        <v>0</v>
      </c>
      <c r="L115" s="40"/>
    </row>
    <row r="116" spans="1:12" hidden="1">
      <c r="A116" s="40"/>
      <c r="B116" s="38">
        <f t="shared" si="1"/>
        <v>0</v>
      </c>
      <c r="L116" s="40"/>
    </row>
    <row r="117" spans="1:12" hidden="1">
      <c r="A117" s="40"/>
      <c r="B117" s="38">
        <f t="shared" si="1"/>
        <v>0</v>
      </c>
      <c r="L117" s="40"/>
    </row>
    <row r="118" spans="1:12" hidden="1">
      <c r="A118" s="40"/>
      <c r="B118" s="38">
        <f t="shared" si="1"/>
        <v>0</v>
      </c>
      <c r="L118" s="40"/>
    </row>
    <row r="119" spans="1:12" hidden="1">
      <c r="A119" s="40"/>
      <c r="B119" s="38">
        <f t="shared" si="1"/>
        <v>0</v>
      </c>
      <c r="L119" s="40"/>
    </row>
    <row r="120" spans="1:12" hidden="1">
      <c r="A120" s="40"/>
      <c r="B120" s="38">
        <f t="shared" si="1"/>
        <v>0</v>
      </c>
      <c r="L120" s="40"/>
    </row>
    <row r="121" spans="1:12" hidden="1">
      <c r="A121" s="40"/>
      <c r="B121" s="38">
        <f t="shared" si="1"/>
        <v>0</v>
      </c>
      <c r="L121" s="40"/>
    </row>
    <row r="122" spans="1:12" hidden="1">
      <c r="A122" s="40"/>
      <c r="B122" s="38">
        <f t="shared" si="1"/>
        <v>0</v>
      </c>
      <c r="L122" s="40"/>
    </row>
    <row r="123" spans="1:12" hidden="1">
      <c r="A123" s="40"/>
      <c r="B123" s="38">
        <f t="shared" si="1"/>
        <v>0</v>
      </c>
      <c r="L123" s="40"/>
    </row>
    <row r="124" spans="1:12" hidden="1">
      <c r="A124" s="40"/>
      <c r="B124" s="38">
        <f t="shared" si="1"/>
        <v>0</v>
      </c>
      <c r="L124" s="40"/>
    </row>
    <row r="125" spans="1:12" hidden="1">
      <c r="A125" s="40"/>
      <c r="B125" s="38">
        <f t="shared" si="1"/>
        <v>0</v>
      </c>
      <c r="L125" s="40"/>
    </row>
    <row r="126" spans="1:12" hidden="1">
      <c r="A126" s="40"/>
      <c r="B126" s="38">
        <f t="shared" si="1"/>
        <v>0</v>
      </c>
      <c r="L126" s="40"/>
    </row>
    <row r="127" spans="1:12" hidden="1">
      <c r="A127" s="40"/>
      <c r="B127" s="38">
        <f t="shared" si="1"/>
        <v>0</v>
      </c>
      <c r="L127" s="40"/>
    </row>
    <row r="128" spans="1:12" hidden="1">
      <c r="A128" s="40"/>
      <c r="B128" s="38">
        <f t="shared" si="1"/>
        <v>0</v>
      </c>
      <c r="L128" s="40"/>
    </row>
    <row r="129" spans="1:12" hidden="1">
      <c r="A129" s="40"/>
      <c r="B129" s="38">
        <f t="shared" si="1"/>
        <v>0</v>
      </c>
      <c r="L129" s="40"/>
    </row>
    <row r="130" spans="1:12" hidden="1">
      <c r="A130" s="40"/>
      <c r="B130" s="38">
        <f t="shared" si="1"/>
        <v>0</v>
      </c>
      <c r="L130" s="40"/>
    </row>
    <row r="131" spans="1:12" hidden="1">
      <c r="A131" s="40"/>
      <c r="B131" s="38">
        <f t="shared" si="1"/>
        <v>0</v>
      </c>
      <c r="L131" s="40"/>
    </row>
    <row r="132" spans="1:12" hidden="1">
      <c r="A132" s="40"/>
      <c r="B132" s="38">
        <f t="shared" si="1"/>
        <v>0</v>
      </c>
      <c r="L132" s="40"/>
    </row>
    <row r="133" spans="1:12" hidden="1">
      <c r="A133" s="40"/>
      <c r="B133" s="38">
        <f t="shared" si="1"/>
        <v>0</v>
      </c>
      <c r="L133" s="40"/>
    </row>
    <row r="134" spans="1:12" hidden="1">
      <c r="A134" s="40"/>
      <c r="B134" s="38">
        <f t="shared" si="1"/>
        <v>0</v>
      </c>
      <c r="L134" s="40"/>
    </row>
    <row r="135" spans="1:12" hidden="1">
      <c r="A135" s="40"/>
      <c r="B135" s="38">
        <f t="shared" ref="B135:B142" si="2">WEEKNUM(A135)</f>
        <v>0</v>
      </c>
      <c r="L135" s="40"/>
    </row>
    <row r="136" spans="1:12" hidden="1">
      <c r="A136" s="40"/>
      <c r="B136" s="38">
        <f t="shared" si="2"/>
        <v>0</v>
      </c>
      <c r="L136" s="40"/>
    </row>
    <row r="137" spans="1:12" hidden="1">
      <c r="A137" s="40"/>
      <c r="B137" s="38">
        <f t="shared" si="2"/>
        <v>0</v>
      </c>
      <c r="L137" s="40"/>
    </row>
    <row r="138" spans="1:12" hidden="1">
      <c r="A138" s="40"/>
      <c r="B138" s="38">
        <f t="shared" si="2"/>
        <v>0</v>
      </c>
      <c r="L138" s="40"/>
    </row>
    <row r="139" spans="1:12" hidden="1">
      <c r="A139" s="40"/>
      <c r="B139" s="38">
        <f t="shared" si="2"/>
        <v>0</v>
      </c>
      <c r="L139" s="40"/>
    </row>
    <row r="140" spans="1:12" hidden="1">
      <c r="A140" s="40"/>
      <c r="B140" s="38">
        <f t="shared" si="2"/>
        <v>0</v>
      </c>
      <c r="L140" s="40"/>
    </row>
    <row r="141" spans="1:12" hidden="1">
      <c r="A141" s="40"/>
      <c r="B141" s="38">
        <f t="shared" si="2"/>
        <v>0</v>
      </c>
      <c r="L141" s="40"/>
    </row>
    <row r="142" spans="1:12" hidden="1">
      <c r="A142" s="40"/>
      <c r="B142" s="38">
        <f t="shared" si="2"/>
        <v>0</v>
      </c>
      <c r="L142" s="40"/>
    </row>
    <row r="143" spans="1:12" hidden="1">
      <c r="A143" s="40"/>
      <c r="B143" s="38">
        <f t="shared" ref="B143:B206" si="3">WEEKNUM(A143)</f>
        <v>0</v>
      </c>
      <c r="L143" s="40"/>
    </row>
    <row r="144" spans="1:12" hidden="1">
      <c r="A144" s="40"/>
      <c r="B144" s="38">
        <f t="shared" si="3"/>
        <v>0</v>
      </c>
      <c r="L144" s="40"/>
    </row>
    <row r="145" spans="1:12" hidden="1">
      <c r="A145" s="40"/>
      <c r="B145" s="38">
        <f t="shared" si="3"/>
        <v>0</v>
      </c>
      <c r="L145" s="40"/>
    </row>
    <row r="146" spans="1:12" hidden="1">
      <c r="A146" s="40"/>
      <c r="B146" s="38">
        <f t="shared" si="3"/>
        <v>0</v>
      </c>
      <c r="L146" s="40"/>
    </row>
    <row r="147" spans="1:12" hidden="1">
      <c r="A147" s="40"/>
      <c r="B147" s="38">
        <f t="shared" si="3"/>
        <v>0</v>
      </c>
      <c r="L147" s="40"/>
    </row>
    <row r="148" spans="1:12" hidden="1">
      <c r="A148" s="40"/>
      <c r="B148" s="38">
        <f t="shared" si="3"/>
        <v>0</v>
      </c>
      <c r="L148" s="40"/>
    </row>
    <row r="149" spans="1:12" hidden="1">
      <c r="A149" s="40"/>
      <c r="B149" s="38">
        <f t="shared" si="3"/>
        <v>0</v>
      </c>
      <c r="L149" s="40"/>
    </row>
    <row r="150" spans="1:12" hidden="1">
      <c r="A150" s="40"/>
      <c r="B150" s="38">
        <f t="shared" si="3"/>
        <v>0</v>
      </c>
      <c r="L150" s="40"/>
    </row>
    <row r="151" spans="1:12" hidden="1">
      <c r="A151" s="40"/>
      <c r="B151" s="38">
        <f t="shared" si="3"/>
        <v>0</v>
      </c>
      <c r="L151" s="40"/>
    </row>
    <row r="152" spans="1:12" hidden="1">
      <c r="A152" s="40"/>
      <c r="B152" s="38">
        <f t="shared" si="3"/>
        <v>0</v>
      </c>
      <c r="L152" s="40"/>
    </row>
    <row r="153" spans="1:12" hidden="1">
      <c r="A153" s="40"/>
      <c r="B153" s="38">
        <f t="shared" si="3"/>
        <v>0</v>
      </c>
      <c r="L153" s="40"/>
    </row>
    <row r="154" spans="1:12" hidden="1">
      <c r="A154" s="40"/>
      <c r="B154" s="38">
        <f t="shared" si="3"/>
        <v>0</v>
      </c>
      <c r="L154" s="40"/>
    </row>
    <row r="155" spans="1:12" hidden="1">
      <c r="A155" s="40"/>
      <c r="B155" s="38">
        <f t="shared" si="3"/>
        <v>0</v>
      </c>
      <c r="L155" s="40"/>
    </row>
    <row r="156" spans="1:12" hidden="1">
      <c r="A156" s="40"/>
      <c r="B156" s="38">
        <f t="shared" si="3"/>
        <v>0</v>
      </c>
      <c r="L156" s="40"/>
    </row>
    <row r="157" spans="1:12" hidden="1">
      <c r="A157" s="40"/>
      <c r="B157" s="38">
        <f t="shared" si="3"/>
        <v>0</v>
      </c>
      <c r="L157" s="40"/>
    </row>
    <row r="158" spans="1:12" hidden="1">
      <c r="A158" s="40"/>
      <c r="B158" s="38">
        <f t="shared" si="3"/>
        <v>0</v>
      </c>
      <c r="L158" s="40"/>
    </row>
    <row r="159" spans="1:12" hidden="1">
      <c r="A159" s="40"/>
      <c r="B159" s="38">
        <f t="shared" si="3"/>
        <v>0</v>
      </c>
      <c r="L159" s="40"/>
    </row>
    <row r="160" spans="1:12" hidden="1">
      <c r="A160" s="40"/>
      <c r="B160" s="38">
        <f t="shared" si="3"/>
        <v>0</v>
      </c>
      <c r="L160" s="40"/>
    </row>
    <row r="161" spans="1:12" hidden="1">
      <c r="A161" s="40"/>
      <c r="B161" s="38">
        <f t="shared" si="3"/>
        <v>0</v>
      </c>
      <c r="L161" s="40"/>
    </row>
    <row r="162" spans="1:12" hidden="1">
      <c r="A162" s="40"/>
      <c r="B162" s="38">
        <f t="shared" si="3"/>
        <v>0</v>
      </c>
      <c r="L162" s="40"/>
    </row>
    <row r="163" spans="1:12" hidden="1">
      <c r="A163" s="40"/>
      <c r="B163" s="38">
        <f t="shared" si="3"/>
        <v>0</v>
      </c>
      <c r="L163" s="40"/>
    </row>
    <row r="164" spans="1:12" hidden="1">
      <c r="A164" s="40"/>
      <c r="B164" s="38">
        <f t="shared" si="3"/>
        <v>0</v>
      </c>
      <c r="L164" s="40"/>
    </row>
    <row r="165" spans="1:12" hidden="1">
      <c r="A165" s="40"/>
      <c r="B165" s="38">
        <f t="shared" si="3"/>
        <v>0</v>
      </c>
      <c r="L165" s="40"/>
    </row>
    <row r="166" spans="1:12" hidden="1">
      <c r="A166" s="40"/>
      <c r="B166" s="38">
        <f t="shared" si="3"/>
        <v>0</v>
      </c>
      <c r="L166" s="40"/>
    </row>
    <row r="167" spans="1:12" hidden="1">
      <c r="A167" s="40"/>
      <c r="B167" s="38">
        <f t="shared" si="3"/>
        <v>0</v>
      </c>
      <c r="L167" s="40"/>
    </row>
    <row r="168" spans="1:12" hidden="1">
      <c r="A168" s="40"/>
      <c r="B168" s="38">
        <f t="shared" si="3"/>
        <v>0</v>
      </c>
      <c r="L168" s="40"/>
    </row>
    <row r="169" spans="1:12" hidden="1">
      <c r="A169" s="40"/>
      <c r="B169" s="38">
        <f t="shared" si="3"/>
        <v>0</v>
      </c>
      <c r="L169" s="40"/>
    </row>
    <row r="170" spans="1:12" hidden="1">
      <c r="A170" s="40"/>
      <c r="B170" s="38">
        <f t="shared" si="3"/>
        <v>0</v>
      </c>
      <c r="L170" s="40"/>
    </row>
    <row r="171" spans="1:12" hidden="1">
      <c r="A171" s="40"/>
      <c r="B171" s="38">
        <f t="shared" si="3"/>
        <v>0</v>
      </c>
      <c r="L171" s="40"/>
    </row>
    <row r="172" spans="1:12" hidden="1">
      <c r="A172" s="40"/>
      <c r="B172" s="38">
        <f t="shared" si="3"/>
        <v>0</v>
      </c>
      <c r="L172" s="40"/>
    </row>
    <row r="173" spans="1:12" hidden="1">
      <c r="A173" s="40"/>
      <c r="B173" s="38">
        <f t="shared" si="3"/>
        <v>0</v>
      </c>
      <c r="L173" s="40"/>
    </row>
    <row r="174" spans="1:12" hidden="1">
      <c r="A174" s="40"/>
      <c r="B174" s="38">
        <f t="shared" si="3"/>
        <v>0</v>
      </c>
      <c r="L174" s="40"/>
    </row>
    <row r="175" spans="1:12" hidden="1">
      <c r="A175" s="40"/>
      <c r="B175" s="38">
        <f t="shared" si="3"/>
        <v>0</v>
      </c>
      <c r="L175" s="40"/>
    </row>
    <row r="176" spans="1:12" hidden="1">
      <c r="A176" s="40"/>
      <c r="B176" s="38">
        <f t="shared" si="3"/>
        <v>0</v>
      </c>
      <c r="L176" s="40"/>
    </row>
    <row r="177" spans="1:12" hidden="1">
      <c r="A177" s="40"/>
      <c r="B177" s="38">
        <f t="shared" si="3"/>
        <v>0</v>
      </c>
      <c r="L177" s="40"/>
    </row>
    <row r="178" spans="1:12" hidden="1">
      <c r="A178" s="40"/>
      <c r="B178" s="38">
        <f t="shared" si="3"/>
        <v>0</v>
      </c>
      <c r="L178" s="40"/>
    </row>
    <row r="179" spans="1:12" hidden="1">
      <c r="A179" s="40"/>
      <c r="B179" s="38">
        <f t="shared" si="3"/>
        <v>0</v>
      </c>
      <c r="L179" s="40"/>
    </row>
    <row r="180" spans="1:12" hidden="1">
      <c r="A180" s="40"/>
      <c r="B180" s="38">
        <f t="shared" si="3"/>
        <v>0</v>
      </c>
      <c r="L180" s="40"/>
    </row>
    <row r="181" spans="1:12" hidden="1">
      <c r="A181" s="40"/>
      <c r="B181" s="38">
        <f t="shared" si="3"/>
        <v>0</v>
      </c>
      <c r="L181" s="40"/>
    </row>
    <row r="182" spans="1:12" hidden="1">
      <c r="A182" s="40"/>
      <c r="B182" s="38">
        <f t="shared" si="3"/>
        <v>0</v>
      </c>
      <c r="L182" s="40"/>
    </row>
    <row r="183" spans="1:12" hidden="1">
      <c r="A183" s="40"/>
      <c r="B183" s="38">
        <f t="shared" si="3"/>
        <v>0</v>
      </c>
      <c r="L183" s="40"/>
    </row>
    <row r="184" spans="1:12" hidden="1">
      <c r="A184" s="40"/>
      <c r="B184" s="38">
        <f t="shared" si="3"/>
        <v>0</v>
      </c>
      <c r="L184" s="40"/>
    </row>
    <row r="185" spans="1:12" hidden="1">
      <c r="A185" s="40"/>
      <c r="B185" s="38">
        <f t="shared" si="3"/>
        <v>0</v>
      </c>
      <c r="L185" s="40"/>
    </row>
    <row r="186" spans="1:12" hidden="1">
      <c r="A186" s="40"/>
      <c r="B186" s="38">
        <f t="shared" si="3"/>
        <v>0</v>
      </c>
      <c r="L186" s="40"/>
    </row>
    <row r="187" spans="1:12" hidden="1">
      <c r="A187" s="40"/>
      <c r="B187" s="38">
        <f t="shared" si="3"/>
        <v>0</v>
      </c>
      <c r="L187" s="40"/>
    </row>
    <row r="188" spans="1:12" hidden="1">
      <c r="A188" s="40"/>
      <c r="B188" s="38">
        <f t="shared" si="3"/>
        <v>0</v>
      </c>
      <c r="L188" s="40"/>
    </row>
    <row r="189" spans="1:12" hidden="1">
      <c r="A189" s="40"/>
      <c r="B189" s="38">
        <f t="shared" si="3"/>
        <v>0</v>
      </c>
      <c r="L189" s="40"/>
    </row>
    <row r="190" spans="1:12" hidden="1">
      <c r="A190" s="40"/>
      <c r="B190" s="38">
        <f t="shared" si="3"/>
        <v>0</v>
      </c>
      <c r="L190" s="40"/>
    </row>
    <row r="191" spans="1:12" hidden="1">
      <c r="A191" s="40"/>
      <c r="B191" s="38">
        <f t="shared" si="3"/>
        <v>0</v>
      </c>
      <c r="L191" s="40"/>
    </row>
    <row r="192" spans="1:12" hidden="1">
      <c r="A192" s="40"/>
      <c r="B192" s="38">
        <f t="shared" si="3"/>
        <v>0</v>
      </c>
      <c r="L192" s="40"/>
    </row>
    <row r="193" spans="1:12" hidden="1">
      <c r="A193" s="40"/>
      <c r="B193" s="38">
        <f t="shared" si="3"/>
        <v>0</v>
      </c>
      <c r="L193" s="40"/>
    </row>
    <row r="194" spans="1:12" hidden="1">
      <c r="A194" s="40"/>
      <c r="B194" s="38">
        <f t="shared" si="3"/>
        <v>0</v>
      </c>
      <c r="L194" s="40"/>
    </row>
    <row r="195" spans="1:12" hidden="1">
      <c r="A195" s="40"/>
      <c r="B195" s="38">
        <f t="shared" si="3"/>
        <v>0</v>
      </c>
      <c r="L195" s="40"/>
    </row>
    <row r="196" spans="1:12" hidden="1">
      <c r="A196" s="40"/>
      <c r="B196" s="38">
        <f t="shared" si="3"/>
        <v>0</v>
      </c>
      <c r="L196" s="40"/>
    </row>
    <row r="197" spans="1:12" hidden="1">
      <c r="A197" s="40"/>
      <c r="B197" s="38">
        <f t="shared" si="3"/>
        <v>0</v>
      </c>
      <c r="L197" s="40"/>
    </row>
    <row r="198" spans="1:12" hidden="1">
      <c r="A198" s="40"/>
      <c r="B198" s="38">
        <f t="shared" si="3"/>
        <v>0</v>
      </c>
      <c r="L198" s="40"/>
    </row>
    <row r="199" spans="1:12" hidden="1">
      <c r="A199" s="40"/>
      <c r="B199" s="38">
        <f t="shared" si="3"/>
        <v>0</v>
      </c>
      <c r="L199" s="40"/>
    </row>
    <row r="200" spans="1:12" hidden="1">
      <c r="A200" s="40"/>
      <c r="B200" s="38">
        <f t="shared" si="3"/>
        <v>0</v>
      </c>
      <c r="L200" s="40"/>
    </row>
    <row r="201" spans="1:12" hidden="1">
      <c r="A201" s="40"/>
      <c r="B201" s="38">
        <f t="shared" si="3"/>
        <v>0</v>
      </c>
      <c r="L201" s="40"/>
    </row>
    <row r="202" spans="1:12" hidden="1">
      <c r="A202" s="40"/>
      <c r="B202" s="38">
        <f t="shared" si="3"/>
        <v>0</v>
      </c>
      <c r="L202" s="40"/>
    </row>
    <row r="203" spans="1:12" hidden="1">
      <c r="A203" s="40"/>
      <c r="B203" s="38">
        <f t="shared" si="3"/>
        <v>0</v>
      </c>
      <c r="L203" s="40"/>
    </row>
    <row r="204" spans="1:12" hidden="1">
      <c r="A204" s="40"/>
      <c r="B204" s="38">
        <f t="shared" si="3"/>
        <v>0</v>
      </c>
      <c r="L204" s="40"/>
    </row>
    <row r="205" spans="1:12" hidden="1">
      <c r="A205" s="40"/>
      <c r="B205" s="38">
        <f t="shared" si="3"/>
        <v>0</v>
      </c>
      <c r="L205" s="40"/>
    </row>
    <row r="206" spans="1:12" hidden="1">
      <c r="A206" s="40"/>
      <c r="B206" s="38">
        <f t="shared" si="3"/>
        <v>0</v>
      </c>
      <c r="L206" s="40"/>
    </row>
    <row r="207" spans="1:12" hidden="1">
      <c r="A207" s="40"/>
      <c r="B207" s="38">
        <f t="shared" ref="B207:B270" si="4">WEEKNUM(A207)</f>
        <v>0</v>
      </c>
      <c r="L207" s="40"/>
    </row>
    <row r="208" spans="1:12" hidden="1">
      <c r="A208" s="40"/>
      <c r="B208" s="38">
        <f t="shared" si="4"/>
        <v>0</v>
      </c>
      <c r="L208" s="40"/>
    </row>
    <row r="209" spans="1:12" hidden="1">
      <c r="A209" s="40"/>
      <c r="B209" s="38">
        <f t="shared" si="4"/>
        <v>0</v>
      </c>
      <c r="L209" s="40"/>
    </row>
    <row r="210" spans="1:12" hidden="1">
      <c r="A210" s="40"/>
      <c r="B210" s="38">
        <f t="shared" si="4"/>
        <v>0</v>
      </c>
      <c r="L210" s="40"/>
    </row>
    <row r="211" spans="1:12" hidden="1">
      <c r="A211" s="40"/>
      <c r="B211" s="38">
        <f t="shared" si="4"/>
        <v>0</v>
      </c>
      <c r="L211" s="40"/>
    </row>
    <row r="212" spans="1:12" hidden="1">
      <c r="A212" s="40"/>
      <c r="B212" s="38">
        <f t="shared" si="4"/>
        <v>0</v>
      </c>
      <c r="L212" s="40"/>
    </row>
    <row r="213" spans="1:12" hidden="1">
      <c r="A213" s="40"/>
      <c r="B213" s="38">
        <f t="shared" si="4"/>
        <v>0</v>
      </c>
      <c r="L213" s="40"/>
    </row>
    <row r="214" spans="1:12" hidden="1">
      <c r="A214" s="40"/>
      <c r="B214" s="38">
        <f t="shared" si="4"/>
        <v>0</v>
      </c>
      <c r="L214" s="40"/>
    </row>
    <row r="215" spans="1:12" hidden="1">
      <c r="A215" s="40"/>
      <c r="B215" s="38">
        <f t="shared" si="4"/>
        <v>0</v>
      </c>
      <c r="L215" s="40"/>
    </row>
    <row r="216" spans="1:12" hidden="1">
      <c r="A216" s="40"/>
      <c r="B216" s="38">
        <f t="shared" si="4"/>
        <v>0</v>
      </c>
      <c r="L216" s="40"/>
    </row>
    <row r="217" spans="1:12" hidden="1">
      <c r="A217" s="40"/>
      <c r="B217" s="38">
        <f t="shared" si="4"/>
        <v>0</v>
      </c>
      <c r="L217" s="40"/>
    </row>
    <row r="218" spans="1:12" hidden="1">
      <c r="A218" s="40"/>
      <c r="B218" s="38">
        <f t="shared" si="4"/>
        <v>0</v>
      </c>
      <c r="L218" s="40"/>
    </row>
    <row r="219" spans="1:12" hidden="1">
      <c r="A219" s="40"/>
      <c r="B219" s="38">
        <f t="shared" si="4"/>
        <v>0</v>
      </c>
      <c r="L219" s="40"/>
    </row>
    <row r="220" spans="1:12" hidden="1">
      <c r="A220" s="40"/>
      <c r="B220" s="38">
        <f t="shared" si="4"/>
        <v>0</v>
      </c>
      <c r="L220" s="40"/>
    </row>
    <row r="221" spans="1:12" hidden="1">
      <c r="A221" s="40"/>
      <c r="B221" s="38">
        <f t="shared" si="4"/>
        <v>0</v>
      </c>
      <c r="L221" s="40"/>
    </row>
    <row r="222" spans="1:12" hidden="1">
      <c r="A222" s="40"/>
      <c r="B222" s="38">
        <f t="shared" si="4"/>
        <v>0</v>
      </c>
      <c r="L222" s="40"/>
    </row>
    <row r="223" spans="1:12" hidden="1">
      <c r="A223" s="40"/>
      <c r="B223" s="38">
        <f t="shared" si="4"/>
        <v>0</v>
      </c>
      <c r="L223" s="40"/>
    </row>
    <row r="224" spans="1:12" hidden="1">
      <c r="A224" s="40"/>
      <c r="B224" s="38">
        <f t="shared" si="4"/>
        <v>0</v>
      </c>
      <c r="L224" s="40"/>
    </row>
    <row r="225" spans="1:12" hidden="1">
      <c r="A225" s="40"/>
      <c r="B225" s="38">
        <f t="shared" si="4"/>
        <v>0</v>
      </c>
      <c r="L225" s="40"/>
    </row>
    <row r="226" spans="1:12" hidden="1">
      <c r="A226" s="40"/>
      <c r="B226" s="38">
        <f t="shared" si="4"/>
        <v>0</v>
      </c>
      <c r="L226" s="40"/>
    </row>
    <row r="227" spans="1:12" hidden="1">
      <c r="A227" s="40"/>
      <c r="B227" s="38">
        <f t="shared" si="4"/>
        <v>0</v>
      </c>
      <c r="L227" s="40"/>
    </row>
    <row r="228" spans="1:12" hidden="1">
      <c r="A228" s="40"/>
      <c r="B228" s="38">
        <f t="shared" si="4"/>
        <v>0</v>
      </c>
      <c r="L228" s="40"/>
    </row>
    <row r="229" spans="1:12" hidden="1">
      <c r="A229" s="40"/>
      <c r="B229" s="38">
        <f t="shared" si="4"/>
        <v>0</v>
      </c>
      <c r="L229" s="40"/>
    </row>
    <row r="230" spans="1:12" hidden="1">
      <c r="A230" s="40"/>
      <c r="B230" s="38">
        <f t="shared" si="4"/>
        <v>0</v>
      </c>
      <c r="L230" s="40"/>
    </row>
    <row r="231" spans="1:12" hidden="1">
      <c r="A231" s="40"/>
      <c r="B231" s="38">
        <f t="shared" si="4"/>
        <v>0</v>
      </c>
      <c r="L231" s="40"/>
    </row>
    <row r="232" spans="1:12" hidden="1">
      <c r="A232" s="40"/>
      <c r="B232" s="38">
        <f t="shared" si="4"/>
        <v>0</v>
      </c>
      <c r="L232" s="40"/>
    </row>
    <row r="233" spans="1:12" hidden="1">
      <c r="A233" s="40"/>
      <c r="B233" s="38">
        <f t="shared" si="4"/>
        <v>0</v>
      </c>
      <c r="L233" s="40"/>
    </row>
    <row r="234" spans="1:12" hidden="1">
      <c r="A234" s="40"/>
      <c r="B234" s="38">
        <f t="shared" si="4"/>
        <v>0</v>
      </c>
      <c r="L234" s="40"/>
    </row>
    <row r="235" spans="1:12" hidden="1">
      <c r="A235" s="40"/>
      <c r="B235" s="38">
        <f t="shared" si="4"/>
        <v>0</v>
      </c>
      <c r="L235" s="40"/>
    </row>
    <row r="236" spans="1:12" hidden="1">
      <c r="A236" s="40"/>
      <c r="B236" s="38">
        <f t="shared" si="4"/>
        <v>0</v>
      </c>
      <c r="L236" s="40"/>
    </row>
    <row r="237" spans="1:12" hidden="1">
      <c r="A237" s="40"/>
      <c r="B237" s="38">
        <f t="shared" si="4"/>
        <v>0</v>
      </c>
      <c r="L237" s="40"/>
    </row>
    <row r="238" spans="1:12" hidden="1">
      <c r="A238" s="40"/>
      <c r="B238" s="38">
        <f t="shared" si="4"/>
        <v>0</v>
      </c>
      <c r="L238" s="40"/>
    </row>
    <row r="239" spans="1:12" hidden="1">
      <c r="A239" s="40"/>
      <c r="B239" s="38">
        <f t="shared" si="4"/>
        <v>0</v>
      </c>
      <c r="L239" s="40"/>
    </row>
    <row r="240" spans="1:12" hidden="1">
      <c r="A240" s="40"/>
      <c r="B240" s="38">
        <f t="shared" si="4"/>
        <v>0</v>
      </c>
      <c r="L240" s="40"/>
    </row>
    <row r="241" spans="1:12" hidden="1">
      <c r="A241" s="40"/>
      <c r="B241" s="38">
        <f t="shared" si="4"/>
        <v>0</v>
      </c>
      <c r="L241" s="40"/>
    </row>
    <row r="242" spans="1:12" hidden="1">
      <c r="A242" s="40"/>
      <c r="B242" s="38">
        <f t="shared" si="4"/>
        <v>0</v>
      </c>
      <c r="L242" s="40"/>
    </row>
    <row r="243" spans="1:12" hidden="1">
      <c r="A243" s="40"/>
      <c r="B243" s="38">
        <f t="shared" si="4"/>
        <v>0</v>
      </c>
      <c r="L243" s="40"/>
    </row>
    <row r="244" spans="1:12" hidden="1">
      <c r="A244" s="40"/>
      <c r="B244" s="38">
        <f t="shared" si="4"/>
        <v>0</v>
      </c>
      <c r="L244" s="40"/>
    </row>
    <row r="245" spans="1:12" hidden="1">
      <c r="A245" s="40"/>
      <c r="B245" s="38">
        <f t="shared" si="4"/>
        <v>0</v>
      </c>
      <c r="L245" s="40"/>
    </row>
    <row r="246" spans="1:12" hidden="1">
      <c r="A246" s="40"/>
      <c r="B246" s="38">
        <f t="shared" si="4"/>
        <v>0</v>
      </c>
      <c r="L246" s="40"/>
    </row>
    <row r="247" spans="1:12" hidden="1">
      <c r="A247" s="40"/>
      <c r="B247" s="38">
        <f t="shared" si="4"/>
        <v>0</v>
      </c>
      <c r="L247" s="40"/>
    </row>
    <row r="248" spans="1:12" hidden="1">
      <c r="A248" s="40"/>
      <c r="B248" s="38">
        <f t="shared" si="4"/>
        <v>0</v>
      </c>
      <c r="L248" s="40"/>
    </row>
    <row r="249" spans="1:12" hidden="1">
      <c r="A249" s="40"/>
      <c r="B249" s="38">
        <f t="shared" si="4"/>
        <v>0</v>
      </c>
      <c r="L249" s="40"/>
    </row>
    <row r="250" spans="1:12" hidden="1">
      <c r="A250" s="40"/>
      <c r="B250" s="38">
        <f t="shared" si="4"/>
        <v>0</v>
      </c>
      <c r="L250" s="40"/>
    </row>
    <row r="251" spans="1:12" hidden="1">
      <c r="A251" s="40"/>
      <c r="B251" s="38">
        <f t="shared" si="4"/>
        <v>0</v>
      </c>
      <c r="L251" s="40"/>
    </row>
    <row r="252" spans="1:12" hidden="1">
      <c r="A252" s="40"/>
      <c r="B252" s="38">
        <f t="shared" si="4"/>
        <v>0</v>
      </c>
      <c r="L252" s="40"/>
    </row>
    <row r="253" spans="1:12" hidden="1">
      <c r="A253" s="40"/>
      <c r="B253" s="38">
        <f t="shared" si="4"/>
        <v>0</v>
      </c>
      <c r="L253" s="40"/>
    </row>
    <row r="254" spans="1:12" hidden="1">
      <c r="A254" s="40"/>
      <c r="B254" s="38">
        <f t="shared" si="4"/>
        <v>0</v>
      </c>
      <c r="L254" s="40"/>
    </row>
    <row r="255" spans="1:12" hidden="1">
      <c r="A255" s="40"/>
      <c r="B255" s="38">
        <f t="shared" si="4"/>
        <v>0</v>
      </c>
      <c r="L255" s="40"/>
    </row>
    <row r="256" spans="1:12" hidden="1">
      <c r="A256" s="40"/>
      <c r="B256" s="38">
        <f t="shared" si="4"/>
        <v>0</v>
      </c>
      <c r="L256" s="40"/>
    </row>
    <row r="257" spans="1:12" hidden="1">
      <c r="A257" s="40"/>
      <c r="B257" s="38">
        <f t="shared" si="4"/>
        <v>0</v>
      </c>
      <c r="L257" s="40"/>
    </row>
    <row r="258" spans="1:12" hidden="1">
      <c r="A258" s="40"/>
      <c r="B258" s="38">
        <f t="shared" si="4"/>
        <v>0</v>
      </c>
      <c r="L258" s="40"/>
    </row>
    <row r="259" spans="1:12" hidden="1">
      <c r="A259" s="40"/>
      <c r="B259" s="38">
        <f t="shared" si="4"/>
        <v>0</v>
      </c>
      <c r="L259" s="40"/>
    </row>
    <row r="260" spans="1:12" hidden="1">
      <c r="A260" s="40"/>
      <c r="B260" s="38">
        <f t="shared" si="4"/>
        <v>0</v>
      </c>
      <c r="L260" s="40"/>
    </row>
    <row r="261" spans="1:12" hidden="1">
      <c r="A261" s="40"/>
      <c r="B261" s="38">
        <f t="shared" si="4"/>
        <v>0</v>
      </c>
      <c r="L261" s="40"/>
    </row>
    <row r="262" spans="1:12" hidden="1">
      <c r="A262" s="40"/>
      <c r="B262" s="38">
        <f t="shared" si="4"/>
        <v>0</v>
      </c>
      <c r="L262" s="40"/>
    </row>
    <row r="263" spans="1:12" hidden="1">
      <c r="A263" s="40"/>
      <c r="B263" s="38">
        <f t="shared" si="4"/>
        <v>0</v>
      </c>
      <c r="L263" s="40"/>
    </row>
    <row r="264" spans="1:12" hidden="1">
      <c r="A264" s="40"/>
      <c r="B264" s="38">
        <f t="shared" si="4"/>
        <v>0</v>
      </c>
      <c r="L264" s="40"/>
    </row>
    <row r="265" spans="1:12" hidden="1">
      <c r="A265" s="40"/>
      <c r="B265" s="38">
        <f t="shared" si="4"/>
        <v>0</v>
      </c>
      <c r="L265" s="40"/>
    </row>
    <row r="266" spans="1:12" hidden="1">
      <c r="A266" s="40"/>
      <c r="B266" s="38">
        <f t="shared" si="4"/>
        <v>0</v>
      </c>
      <c r="L266" s="40"/>
    </row>
    <row r="267" spans="1:12" hidden="1">
      <c r="A267" s="40"/>
      <c r="B267" s="38">
        <f t="shared" si="4"/>
        <v>0</v>
      </c>
      <c r="L267" s="40"/>
    </row>
    <row r="268" spans="1:12" hidden="1">
      <c r="A268" s="40"/>
      <c r="B268" s="38">
        <f t="shared" si="4"/>
        <v>0</v>
      </c>
      <c r="L268" s="40"/>
    </row>
    <row r="269" spans="1:12" hidden="1">
      <c r="A269" s="40"/>
      <c r="B269" s="38">
        <f t="shared" si="4"/>
        <v>0</v>
      </c>
      <c r="L269" s="40"/>
    </row>
    <row r="270" spans="1:12" hidden="1">
      <c r="A270" s="40"/>
      <c r="B270" s="38">
        <f t="shared" si="4"/>
        <v>0</v>
      </c>
      <c r="L270" s="40"/>
    </row>
    <row r="271" spans="1:12" hidden="1">
      <c r="A271" s="40"/>
      <c r="B271" s="38">
        <f t="shared" ref="B271:B313" si="5">WEEKNUM(A271)</f>
        <v>0</v>
      </c>
      <c r="L271" s="40"/>
    </row>
    <row r="272" spans="1:12" hidden="1">
      <c r="A272" s="40"/>
      <c r="B272" s="38">
        <f t="shared" si="5"/>
        <v>0</v>
      </c>
      <c r="L272" s="40"/>
    </row>
    <row r="273" spans="1:12" hidden="1">
      <c r="A273" s="40"/>
      <c r="B273" s="38">
        <f t="shared" si="5"/>
        <v>0</v>
      </c>
      <c r="L273" s="40"/>
    </row>
    <row r="274" spans="1:12" hidden="1">
      <c r="A274" s="40"/>
      <c r="B274" s="38">
        <f t="shared" si="5"/>
        <v>0</v>
      </c>
      <c r="L274" s="40"/>
    </row>
    <row r="275" spans="1:12" hidden="1">
      <c r="A275" s="40"/>
      <c r="B275" s="38">
        <f t="shared" si="5"/>
        <v>0</v>
      </c>
      <c r="L275" s="40"/>
    </row>
    <row r="276" spans="1:12" hidden="1">
      <c r="A276" s="40"/>
      <c r="B276" s="38">
        <f t="shared" si="5"/>
        <v>0</v>
      </c>
      <c r="L276" s="40"/>
    </row>
    <row r="277" spans="1:12" hidden="1">
      <c r="A277" s="40"/>
      <c r="B277" s="38">
        <f t="shared" si="5"/>
        <v>0</v>
      </c>
      <c r="L277" s="40"/>
    </row>
    <row r="278" spans="1:12" hidden="1">
      <c r="A278" s="40"/>
      <c r="B278" s="38">
        <f t="shared" si="5"/>
        <v>0</v>
      </c>
      <c r="L278" s="40"/>
    </row>
    <row r="279" spans="1:12" hidden="1">
      <c r="A279" s="40"/>
      <c r="B279" s="38">
        <f t="shared" si="5"/>
        <v>0</v>
      </c>
      <c r="L279" s="40"/>
    </row>
    <row r="280" spans="1:12" hidden="1">
      <c r="A280" s="40"/>
      <c r="B280" s="38">
        <f t="shared" si="5"/>
        <v>0</v>
      </c>
      <c r="L280" s="40"/>
    </row>
    <row r="281" spans="1:12" hidden="1">
      <c r="A281" s="40"/>
      <c r="B281" s="38">
        <f t="shared" si="5"/>
        <v>0</v>
      </c>
      <c r="L281" s="40"/>
    </row>
    <row r="282" spans="1:12" hidden="1">
      <c r="A282" s="40"/>
      <c r="B282" s="38">
        <f t="shared" si="5"/>
        <v>0</v>
      </c>
      <c r="L282" s="40"/>
    </row>
    <row r="283" spans="1:12" hidden="1">
      <c r="A283" s="40"/>
      <c r="B283" s="38">
        <f t="shared" si="5"/>
        <v>0</v>
      </c>
      <c r="L283" s="40"/>
    </row>
    <row r="284" spans="1:12" hidden="1">
      <c r="A284" s="40"/>
      <c r="B284" s="38">
        <f t="shared" si="5"/>
        <v>0</v>
      </c>
      <c r="L284" s="40"/>
    </row>
    <row r="285" spans="1:12" hidden="1">
      <c r="A285" s="40"/>
      <c r="B285" s="38">
        <f t="shared" si="5"/>
        <v>0</v>
      </c>
      <c r="L285" s="40"/>
    </row>
    <row r="286" spans="1:12" hidden="1">
      <c r="A286" s="40"/>
      <c r="B286" s="38">
        <f t="shared" si="5"/>
        <v>0</v>
      </c>
      <c r="L286" s="40"/>
    </row>
    <row r="287" spans="1:12" hidden="1">
      <c r="A287" s="40"/>
      <c r="B287" s="38">
        <f t="shared" si="5"/>
        <v>0</v>
      </c>
      <c r="L287" s="40"/>
    </row>
    <row r="288" spans="1:12" hidden="1">
      <c r="A288" s="40"/>
      <c r="B288" s="38">
        <f t="shared" si="5"/>
        <v>0</v>
      </c>
      <c r="L288" s="40"/>
    </row>
    <row r="289" spans="1:12" hidden="1">
      <c r="A289" s="40"/>
      <c r="B289" s="38">
        <f t="shared" si="5"/>
        <v>0</v>
      </c>
      <c r="L289" s="40"/>
    </row>
    <row r="290" spans="1:12" hidden="1">
      <c r="A290" s="40"/>
      <c r="B290" s="38">
        <f t="shared" si="5"/>
        <v>0</v>
      </c>
      <c r="L290" s="40"/>
    </row>
    <row r="291" spans="1:12" hidden="1">
      <c r="A291" s="40"/>
      <c r="B291" s="38">
        <f t="shared" si="5"/>
        <v>0</v>
      </c>
      <c r="L291" s="40"/>
    </row>
    <row r="292" spans="1:12" hidden="1">
      <c r="A292" s="40"/>
      <c r="B292" s="38">
        <f t="shared" si="5"/>
        <v>0</v>
      </c>
      <c r="L292" s="40"/>
    </row>
    <row r="293" spans="1:12" hidden="1">
      <c r="A293" s="40"/>
      <c r="B293" s="38">
        <f t="shared" si="5"/>
        <v>0</v>
      </c>
      <c r="L293" s="40"/>
    </row>
    <row r="294" spans="1:12" hidden="1">
      <c r="A294" s="40"/>
      <c r="B294" s="38">
        <f t="shared" si="5"/>
        <v>0</v>
      </c>
      <c r="L294" s="40"/>
    </row>
    <row r="295" spans="1:12" hidden="1">
      <c r="A295" s="40"/>
      <c r="B295" s="38">
        <f t="shared" si="5"/>
        <v>0</v>
      </c>
      <c r="L295" s="40"/>
    </row>
    <row r="296" spans="1:12" hidden="1">
      <c r="A296" s="40"/>
      <c r="B296" s="38">
        <f t="shared" si="5"/>
        <v>0</v>
      </c>
      <c r="L296" s="40"/>
    </row>
    <row r="297" spans="1:12" hidden="1">
      <c r="A297" s="40"/>
      <c r="B297" s="38">
        <f t="shared" si="5"/>
        <v>0</v>
      </c>
      <c r="L297" s="40"/>
    </row>
    <row r="298" spans="1:12" hidden="1">
      <c r="A298" s="40"/>
      <c r="B298" s="38">
        <f t="shared" si="5"/>
        <v>0</v>
      </c>
      <c r="L298" s="40"/>
    </row>
    <row r="299" spans="1:12" hidden="1">
      <c r="A299" s="40"/>
      <c r="B299" s="38">
        <f t="shared" si="5"/>
        <v>0</v>
      </c>
      <c r="L299" s="40"/>
    </row>
    <row r="300" spans="1:12" hidden="1">
      <c r="A300" s="40"/>
      <c r="B300" s="38">
        <f t="shared" si="5"/>
        <v>0</v>
      </c>
      <c r="L300" s="40"/>
    </row>
    <row r="301" spans="1:12" hidden="1">
      <c r="A301" s="40"/>
      <c r="B301" s="38">
        <f t="shared" si="5"/>
        <v>0</v>
      </c>
      <c r="L301" s="40"/>
    </row>
    <row r="302" spans="1:12" hidden="1">
      <c r="A302" s="40"/>
      <c r="B302" s="38">
        <f t="shared" si="5"/>
        <v>0</v>
      </c>
      <c r="L302" s="40"/>
    </row>
    <row r="303" spans="1:12" hidden="1">
      <c r="A303" s="40"/>
      <c r="B303" s="38">
        <f t="shared" si="5"/>
        <v>0</v>
      </c>
      <c r="L303" s="40"/>
    </row>
    <row r="304" spans="1:12" hidden="1">
      <c r="A304" s="40"/>
      <c r="B304" s="38">
        <f t="shared" si="5"/>
        <v>0</v>
      </c>
      <c r="L304" s="40"/>
    </row>
    <row r="305" spans="1:13" hidden="1">
      <c r="A305" s="40"/>
      <c r="B305" s="38">
        <f t="shared" si="5"/>
        <v>0</v>
      </c>
      <c r="L305" s="40"/>
    </row>
    <row r="306" spans="1:13" hidden="1">
      <c r="A306" s="40"/>
      <c r="B306" s="38">
        <f t="shared" si="5"/>
        <v>0</v>
      </c>
      <c r="L306" s="40"/>
    </row>
    <row r="307" spans="1:13" hidden="1">
      <c r="A307" s="40"/>
      <c r="B307" s="38">
        <f t="shared" si="5"/>
        <v>0</v>
      </c>
      <c r="L307" s="40"/>
    </row>
    <row r="308" spans="1:13" hidden="1">
      <c r="A308" s="40"/>
      <c r="B308" s="38">
        <f t="shared" si="5"/>
        <v>0</v>
      </c>
      <c r="L308" s="40"/>
    </row>
    <row r="309" spans="1:13" hidden="1">
      <c r="A309" s="40"/>
      <c r="B309" s="38">
        <f t="shared" si="5"/>
        <v>0</v>
      </c>
      <c r="L309" s="40"/>
    </row>
    <row r="310" spans="1:13" hidden="1">
      <c r="A310" s="40"/>
      <c r="B310" s="38">
        <f t="shared" si="5"/>
        <v>0</v>
      </c>
      <c r="L310" s="40"/>
    </row>
    <row r="311" spans="1:13" hidden="1">
      <c r="A311" s="40"/>
      <c r="B311" s="38">
        <f t="shared" si="5"/>
        <v>0</v>
      </c>
      <c r="L311" s="40"/>
    </row>
    <row r="312" spans="1:13" hidden="1">
      <c r="A312" s="40"/>
      <c r="B312" s="38">
        <f t="shared" si="5"/>
        <v>0</v>
      </c>
      <c r="L312" s="40"/>
    </row>
    <row r="313" spans="1:13" hidden="1">
      <c r="A313" s="40"/>
      <c r="B313" s="38">
        <f t="shared" si="5"/>
        <v>0</v>
      </c>
      <c r="L313" s="40"/>
    </row>
    <row r="314" spans="1:13">
      <c r="A314" s="40">
        <v>46146</v>
      </c>
      <c r="B314" s="38">
        <f t="shared" ref="B314:B377" si="6">WEEKNUM(A314)</f>
        <v>19</v>
      </c>
      <c r="E314" s="38" t="s">
        <v>1266</v>
      </c>
      <c r="F314" s="38" t="s">
        <v>990</v>
      </c>
      <c r="L314" s="40"/>
    </row>
    <row r="315" spans="1:13">
      <c r="A315" s="40">
        <v>46146</v>
      </c>
      <c r="B315" s="38">
        <f t="shared" si="6"/>
        <v>19</v>
      </c>
      <c r="E315" s="38" t="s">
        <v>1278</v>
      </c>
      <c r="F315" s="38" t="s">
        <v>990</v>
      </c>
      <c r="L315" s="40"/>
    </row>
    <row r="316" spans="1:13">
      <c r="A316" s="40">
        <v>46146</v>
      </c>
      <c r="B316" s="38">
        <f t="shared" si="6"/>
        <v>19</v>
      </c>
      <c r="E316" s="38" t="s">
        <v>1280</v>
      </c>
      <c r="F316" s="38" t="s">
        <v>990</v>
      </c>
      <c r="L316" s="40"/>
    </row>
    <row r="317" spans="1:13">
      <c r="A317" s="40">
        <v>46146</v>
      </c>
      <c r="B317" s="38">
        <f t="shared" si="6"/>
        <v>19</v>
      </c>
      <c r="E317" s="38" t="s">
        <v>1269</v>
      </c>
      <c r="F317" s="38" t="s">
        <v>990</v>
      </c>
      <c r="L317" s="40"/>
    </row>
    <row r="318" spans="1:13" ht="38.25">
      <c r="A318" s="40">
        <v>46146</v>
      </c>
      <c r="B318" s="38">
        <f t="shared" si="6"/>
        <v>19</v>
      </c>
      <c r="C318" s="39" t="s">
        <v>586</v>
      </c>
      <c r="D318" s="38" t="s">
        <v>80</v>
      </c>
      <c r="E318" s="38" t="s">
        <v>1488</v>
      </c>
      <c r="F318" s="38" t="s">
        <v>915</v>
      </c>
      <c r="G318" s="38" t="s">
        <v>1264</v>
      </c>
      <c r="H318" s="38" t="s">
        <v>466</v>
      </c>
      <c r="I318" s="38" t="s">
        <v>466</v>
      </c>
      <c r="K318" s="39" t="s">
        <v>1489</v>
      </c>
      <c r="L318" s="40">
        <v>46148</v>
      </c>
      <c r="M318" s="39" t="s">
        <v>1490</v>
      </c>
    </row>
    <row r="319" spans="1:13" ht="51">
      <c r="A319" s="40">
        <v>46146</v>
      </c>
      <c r="B319" s="38">
        <f t="shared" si="6"/>
        <v>19</v>
      </c>
      <c r="C319" s="39" t="s">
        <v>623</v>
      </c>
      <c r="D319" s="38" t="s">
        <v>241</v>
      </c>
      <c r="E319" s="38" t="s">
        <v>1488</v>
      </c>
      <c r="F319" s="38" t="s">
        <v>915</v>
      </c>
      <c r="G319" s="38" t="s">
        <v>1264</v>
      </c>
      <c r="H319" s="38" t="s">
        <v>30</v>
      </c>
      <c r="I319" s="38" t="s">
        <v>225</v>
      </c>
      <c r="J319" s="38" t="s">
        <v>40</v>
      </c>
      <c r="K319" s="39" t="s">
        <v>1491</v>
      </c>
      <c r="L319" s="40">
        <v>46148</v>
      </c>
      <c r="M319" s="39" t="s">
        <v>197</v>
      </c>
    </row>
    <row r="320" spans="1:13" hidden="1">
      <c r="A320" s="58"/>
      <c r="B320" s="59">
        <f t="shared" si="6"/>
        <v>0</v>
      </c>
      <c r="C320" s="60"/>
      <c r="D320" s="59"/>
      <c r="E320" s="59"/>
      <c r="F320" s="59"/>
      <c r="G320" s="59"/>
      <c r="H320" s="59"/>
      <c r="I320" s="59"/>
      <c r="J320" s="59"/>
      <c r="K320" s="60"/>
      <c r="L320" s="58"/>
      <c r="M320" s="60"/>
    </row>
    <row r="321" spans="1:13" ht="140.25">
      <c r="A321" s="40">
        <v>46147</v>
      </c>
      <c r="B321" s="38">
        <f t="shared" si="6"/>
        <v>19</v>
      </c>
      <c r="C321" s="39" t="s">
        <v>416</v>
      </c>
      <c r="D321" s="38" t="s">
        <v>238</v>
      </c>
      <c r="E321" s="38" t="s">
        <v>1260</v>
      </c>
      <c r="F321" s="38" t="s">
        <v>915</v>
      </c>
      <c r="G321" s="38" t="s">
        <v>1264</v>
      </c>
      <c r="H321" s="38" t="s">
        <v>30</v>
      </c>
      <c r="I321" s="38" t="s">
        <v>32</v>
      </c>
      <c r="J321" s="38" t="s">
        <v>31</v>
      </c>
      <c r="K321" s="39" t="s">
        <v>626</v>
      </c>
      <c r="L321" s="40">
        <v>46149</v>
      </c>
      <c r="M321" s="39" t="s">
        <v>1492</v>
      </c>
    </row>
    <row r="322" spans="1:13" ht="89.25">
      <c r="A322" s="40">
        <v>46147</v>
      </c>
      <c r="B322" s="38">
        <f t="shared" si="6"/>
        <v>19</v>
      </c>
      <c r="C322" s="39" t="s">
        <v>1493</v>
      </c>
      <c r="D322" s="38" t="s">
        <v>232</v>
      </c>
      <c r="E322" s="38" t="s">
        <v>1260</v>
      </c>
      <c r="F322" s="38" t="s">
        <v>915</v>
      </c>
      <c r="G322" s="38" t="s">
        <v>916</v>
      </c>
      <c r="H322" s="38" t="s">
        <v>30</v>
      </c>
      <c r="I322" s="38" t="s">
        <v>32</v>
      </c>
      <c r="J322" s="38" t="s">
        <v>31</v>
      </c>
      <c r="K322" s="39" t="s">
        <v>1494</v>
      </c>
      <c r="L322" s="40">
        <v>46151</v>
      </c>
      <c r="M322" s="39" t="s">
        <v>1492</v>
      </c>
    </row>
    <row r="323" spans="1:13" ht="76.5">
      <c r="A323" s="40">
        <v>46147</v>
      </c>
      <c r="B323" s="38">
        <f t="shared" si="6"/>
        <v>19</v>
      </c>
      <c r="C323" s="39" t="s">
        <v>1495</v>
      </c>
      <c r="D323" s="38" t="s">
        <v>70</v>
      </c>
      <c r="E323" s="38" t="s">
        <v>1263</v>
      </c>
      <c r="F323" s="38" t="s">
        <v>915</v>
      </c>
      <c r="G323" s="38" t="s">
        <v>991</v>
      </c>
      <c r="H323" s="38" t="s">
        <v>30</v>
      </c>
      <c r="I323" s="38" t="s">
        <v>32</v>
      </c>
      <c r="J323" s="38" t="s">
        <v>34</v>
      </c>
      <c r="K323" s="39" t="s">
        <v>1496</v>
      </c>
      <c r="L323" s="40">
        <v>46151</v>
      </c>
      <c r="M323" s="39" t="s">
        <v>197</v>
      </c>
    </row>
    <row r="324" spans="1:13" ht="38.25">
      <c r="A324" s="40">
        <v>46147</v>
      </c>
      <c r="B324" s="38">
        <f t="shared" si="6"/>
        <v>19</v>
      </c>
      <c r="C324" s="39" t="s">
        <v>1497</v>
      </c>
      <c r="D324" s="38" t="s">
        <v>415</v>
      </c>
      <c r="E324" s="38" t="s">
        <v>1263</v>
      </c>
      <c r="F324" s="38" t="s">
        <v>915</v>
      </c>
      <c r="G324" s="38" t="s">
        <v>916</v>
      </c>
      <c r="H324" s="38" t="s">
        <v>30</v>
      </c>
      <c r="I324" s="38" t="s">
        <v>39</v>
      </c>
      <c r="J324" s="38" t="s">
        <v>40</v>
      </c>
      <c r="K324" s="39" t="s">
        <v>1498</v>
      </c>
      <c r="L324" s="40"/>
    </row>
    <row r="325" spans="1:13" ht="51">
      <c r="A325" s="40">
        <v>46147</v>
      </c>
      <c r="B325" s="38">
        <f t="shared" si="6"/>
        <v>19</v>
      </c>
      <c r="C325" s="39" t="s">
        <v>1499</v>
      </c>
      <c r="D325" s="38" t="s">
        <v>582</v>
      </c>
      <c r="E325" s="38" t="s">
        <v>1296</v>
      </c>
      <c r="F325" s="38" t="s">
        <v>915</v>
      </c>
      <c r="G325" s="38" t="s">
        <v>916</v>
      </c>
      <c r="H325" s="38" t="s">
        <v>30</v>
      </c>
      <c r="I325" s="38" t="s">
        <v>36</v>
      </c>
      <c r="J325" s="38" t="s">
        <v>31</v>
      </c>
      <c r="K325" s="39" t="s">
        <v>1500</v>
      </c>
      <c r="L325" s="40">
        <v>46151</v>
      </c>
      <c r="M325" s="39" t="s">
        <v>1501</v>
      </c>
    </row>
    <row r="326" spans="1:13" ht="51">
      <c r="A326" s="40">
        <v>46147</v>
      </c>
      <c r="B326" s="38">
        <f t="shared" si="6"/>
        <v>19</v>
      </c>
      <c r="C326" s="39" t="s">
        <v>1502</v>
      </c>
      <c r="E326" s="38" t="s">
        <v>1284</v>
      </c>
      <c r="F326" s="38" t="s">
        <v>961</v>
      </c>
      <c r="K326" s="39" t="s">
        <v>1503</v>
      </c>
      <c r="L326" s="40"/>
    </row>
    <row r="327" spans="1:13" ht="63.75">
      <c r="A327" s="40">
        <v>46147</v>
      </c>
      <c r="B327" s="38">
        <f t="shared" si="6"/>
        <v>19</v>
      </c>
      <c r="C327" s="39" t="s">
        <v>921</v>
      </c>
      <c r="D327" s="38" t="s">
        <v>72</v>
      </c>
      <c r="E327" s="38" t="s">
        <v>1284</v>
      </c>
      <c r="F327" s="38" t="s">
        <v>915</v>
      </c>
      <c r="G327" s="38" t="s">
        <v>916</v>
      </c>
      <c r="H327" s="38" t="s">
        <v>33</v>
      </c>
      <c r="I327" s="38" t="s">
        <v>32</v>
      </c>
      <c r="J327" s="38" t="s">
        <v>31</v>
      </c>
      <c r="K327" s="39" t="s">
        <v>1504</v>
      </c>
      <c r="L327" s="40">
        <v>46152</v>
      </c>
      <c r="M327" s="39" t="s">
        <v>197</v>
      </c>
    </row>
    <row r="328" spans="1:13" ht="51">
      <c r="A328" s="40">
        <v>46147</v>
      </c>
      <c r="B328" s="38">
        <f t="shared" si="6"/>
        <v>19</v>
      </c>
      <c r="C328" s="39" t="s">
        <v>1505</v>
      </c>
      <c r="D328" s="38" t="s">
        <v>509</v>
      </c>
      <c r="E328" s="38" t="s">
        <v>1266</v>
      </c>
      <c r="F328" s="38" t="s">
        <v>915</v>
      </c>
      <c r="G328" s="38" t="s">
        <v>916</v>
      </c>
      <c r="H328" s="38" t="s">
        <v>30</v>
      </c>
      <c r="I328" s="38" t="s">
        <v>225</v>
      </c>
      <c r="J328" s="38" t="s">
        <v>34</v>
      </c>
      <c r="K328" s="39" t="s">
        <v>1506</v>
      </c>
      <c r="L328" s="40"/>
    </row>
    <row r="329" spans="1:13" ht="63.75">
      <c r="A329" s="40">
        <v>46147</v>
      </c>
      <c r="B329" s="38">
        <f t="shared" si="6"/>
        <v>19</v>
      </c>
      <c r="C329" s="39" t="s">
        <v>1505</v>
      </c>
      <c r="D329" s="38" t="s">
        <v>628</v>
      </c>
      <c r="E329" s="38" t="s">
        <v>1266</v>
      </c>
      <c r="F329" s="38" t="s">
        <v>915</v>
      </c>
      <c r="G329" s="38" t="s">
        <v>916</v>
      </c>
      <c r="H329" s="38" t="s">
        <v>30</v>
      </c>
      <c r="I329" s="38" t="s">
        <v>225</v>
      </c>
      <c r="J329" s="38" t="s">
        <v>34</v>
      </c>
      <c r="K329" s="39" t="s">
        <v>630</v>
      </c>
      <c r="L329" s="40">
        <v>46149</v>
      </c>
      <c r="M329" s="39" t="s">
        <v>197</v>
      </c>
    </row>
    <row r="330" spans="1:13" ht="38.25">
      <c r="A330" s="40">
        <v>46147</v>
      </c>
      <c r="B330" s="38">
        <f t="shared" si="6"/>
        <v>19</v>
      </c>
      <c r="C330" s="39" t="s">
        <v>1507</v>
      </c>
      <c r="D330" s="38" t="s">
        <v>249</v>
      </c>
      <c r="E330" s="38" t="s">
        <v>1278</v>
      </c>
      <c r="F330" s="38" t="s">
        <v>915</v>
      </c>
      <c r="G330" s="38" t="s">
        <v>916</v>
      </c>
      <c r="H330" s="38" t="s">
        <v>466</v>
      </c>
      <c r="I330" s="38" t="s">
        <v>39</v>
      </c>
      <c r="J330" s="38" t="s">
        <v>31</v>
      </c>
      <c r="K330" s="39" t="s">
        <v>1508</v>
      </c>
      <c r="L330" s="40">
        <v>46149</v>
      </c>
      <c r="M330" s="39" t="s">
        <v>197</v>
      </c>
    </row>
    <row r="331" spans="1:13" ht="41.25" customHeight="1">
      <c r="A331" s="40">
        <v>46147</v>
      </c>
      <c r="B331" s="38">
        <f t="shared" si="6"/>
        <v>19</v>
      </c>
      <c r="C331" s="39" t="s">
        <v>535</v>
      </c>
      <c r="D331" s="38" t="s">
        <v>76</v>
      </c>
      <c r="E331" s="38" t="s">
        <v>1280</v>
      </c>
      <c r="F331" s="38" t="s">
        <v>915</v>
      </c>
      <c r="G331" s="38" t="s">
        <v>916</v>
      </c>
      <c r="H331" s="38" t="s">
        <v>466</v>
      </c>
      <c r="K331" s="39" t="s">
        <v>1509</v>
      </c>
      <c r="L331" s="40"/>
    </row>
    <row r="332" spans="1:13" ht="38.25">
      <c r="A332" s="40">
        <v>46147</v>
      </c>
      <c r="B332" s="38">
        <f t="shared" si="6"/>
        <v>19</v>
      </c>
      <c r="E332" s="38" t="s">
        <v>1269</v>
      </c>
      <c r="F332" s="38" t="s">
        <v>961</v>
      </c>
      <c r="K332" s="39" t="s">
        <v>1510</v>
      </c>
      <c r="L332" s="40"/>
    </row>
    <row r="333" spans="1:13" hidden="1">
      <c r="A333" s="58"/>
      <c r="B333" s="59">
        <f t="shared" si="6"/>
        <v>0</v>
      </c>
      <c r="C333" s="60"/>
      <c r="D333" s="59"/>
      <c r="E333" s="59"/>
      <c r="F333" s="59"/>
      <c r="G333" s="59"/>
      <c r="H333" s="59"/>
      <c r="I333" s="59"/>
      <c r="J333" s="59"/>
      <c r="K333" s="60"/>
      <c r="L333" s="58"/>
      <c r="M333" s="60"/>
    </row>
    <row r="334" spans="1:13" ht="76.5">
      <c r="A334" s="40">
        <v>46148</v>
      </c>
      <c r="B334" s="38">
        <f t="shared" si="6"/>
        <v>19</v>
      </c>
      <c r="C334" s="39" t="s">
        <v>623</v>
      </c>
      <c r="D334" s="38" t="s">
        <v>241</v>
      </c>
      <c r="E334" s="38" t="s">
        <v>1260</v>
      </c>
      <c r="F334" s="38" t="s">
        <v>915</v>
      </c>
      <c r="G334" s="38" t="s">
        <v>916</v>
      </c>
      <c r="H334" s="38" t="s">
        <v>30</v>
      </c>
      <c r="I334" s="38" t="s">
        <v>32</v>
      </c>
      <c r="J334" s="38" t="s">
        <v>40</v>
      </c>
      <c r="K334" s="39" t="s">
        <v>1511</v>
      </c>
      <c r="L334" s="40">
        <v>46149</v>
      </c>
      <c r="M334" s="39" t="s">
        <v>1512</v>
      </c>
    </row>
    <row r="335" spans="1:13" ht="25.5">
      <c r="A335" s="40">
        <v>46148</v>
      </c>
      <c r="B335" s="38">
        <f t="shared" si="6"/>
        <v>19</v>
      </c>
      <c r="C335" s="39" t="s">
        <v>1505</v>
      </c>
      <c r="D335" s="38" t="s">
        <v>628</v>
      </c>
      <c r="E335" s="38" t="s">
        <v>1260</v>
      </c>
      <c r="F335" s="38" t="s">
        <v>915</v>
      </c>
      <c r="G335" s="38" t="s">
        <v>916</v>
      </c>
      <c r="H335" s="38" t="s">
        <v>30</v>
      </c>
      <c r="I335" s="38" t="s">
        <v>225</v>
      </c>
      <c r="J335" s="38" t="s">
        <v>34</v>
      </c>
      <c r="K335" s="39" t="s">
        <v>1513</v>
      </c>
      <c r="L335" s="40">
        <v>46151</v>
      </c>
      <c r="M335" s="39" t="s">
        <v>1514</v>
      </c>
    </row>
    <row r="336" spans="1:13" ht="51">
      <c r="A336" s="40">
        <v>46148</v>
      </c>
      <c r="B336" s="38">
        <f t="shared" si="6"/>
        <v>19</v>
      </c>
      <c r="C336" s="39" t="s">
        <v>586</v>
      </c>
      <c r="D336" s="38" t="s">
        <v>80</v>
      </c>
      <c r="E336" s="38" t="s">
        <v>1263</v>
      </c>
      <c r="F336" s="38" t="s">
        <v>915</v>
      </c>
      <c r="G336" s="38" t="s">
        <v>916</v>
      </c>
      <c r="H336" s="38" t="s">
        <v>466</v>
      </c>
      <c r="I336" s="38" t="s">
        <v>466</v>
      </c>
      <c r="J336" s="38" t="s">
        <v>31</v>
      </c>
      <c r="K336" s="39" t="s">
        <v>1515</v>
      </c>
      <c r="L336" s="40">
        <v>46152</v>
      </c>
      <c r="M336" s="39" t="s">
        <v>1516</v>
      </c>
    </row>
    <row r="337" spans="1:13" ht="38.25">
      <c r="A337" s="40">
        <v>46148</v>
      </c>
      <c r="B337" s="38">
        <f t="shared" si="6"/>
        <v>19</v>
      </c>
      <c r="C337" s="39" t="s">
        <v>207</v>
      </c>
      <c r="D337" s="38" t="s">
        <v>206</v>
      </c>
      <c r="E337" s="38" t="s">
        <v>1263</v>
      </c>
      <c r="F337" s="38" t="s">
        <v>915</v>
      </c>
      <c r="G337" s="38" t="s">
        <v>916</v>
      </c>
      <c r="H337" s="38" t="s">
        <v>33</v>
      </c>
      <c r="I337" s="38" t="s">
        <v>35</v>
      </c>
      <c r="J337" s="38" t="s">
        <v>31</v>
      </c>
      <c r="K337" s="39" t="s">
        <v>1517</v>
      </c>
      <c r="L337" s="40">
        <v>46151</v>
      </c>
      <c r="M337" s="39" t="s">
        <v>1518</v>
      </c>
    </row>
    <row r="338" spans="1:13" ht="51">
      <c r="A338" s="40">
        <v>46148</v>
      </c>
      <c r="B338" s="38">
        <f t="shared" si="6"/>
        <v>19</v>
      </c>
      <c r="C338" s="39" t="s">
        <v>1519</v>
      </c>
      <c r="D338" s="38" t="s">
        <v>415</v>
      </c>
      <c r="E338" s="38" t="s">
        <v>1296</v>
      </c>
      <c r="F338" s="38" t="s">
        <v>915</v>
      </c>
      <c r="G338" s="38" t="s">
        <v>916</v>
      </c>
      <c r="H338" s="38" t="s">
        <v>30</v>
      </c>
      <c r="I338" s="38" t="s">
        <v>35</v>
      </c>
      <c r="J338" s="38" t="s">
        <v>31</v>
      </c>
      <c r="K338" s="39" t="s">
        <v>1520</v>
      </c>
      <c r="L338" s="40"/>
    </row>
    <row r="339" spans="1:13" ht="39" customHeight="1">
      <c r="A339" s="40">
        <v>46148</v>
      </c>
      <c r="B339" s="38">
        <f t="shared" si="6"/>
        <v>19</v>
      </c>
      <c r="F339" s="38" t="s">
        <v>961</v>
      </c>
      <c r="K339" s="39" t="s">
        <v>1521</v>
      </c>
      <c r="L339" s="40"/>
    </row>
    <row r="340" spans="1:13" ht="51">
      <c r="A340" s="40">
        <v>46151</v>
      </c>
      <c r="B340" s="38">
        <f t="shared" si="6"/>
        <v>19</v>
      </c>
      <c r="C340" s="39" t="s">
        <v>1522</v>
      </c>
      <c r="D340" s="38" t="s">
        <v>78</v>
      </c>
      <c r="E340" s="38" t="s">
        <v>1260</v>
      </c>
      <c r="F340" s="38" t="s">
        <v>915</v>
      </c>
      <c r="G340" s="38" t="s">
        <v>916</v>
      </c>
      <c r="H340" s="38" t="s">
        <v>33</v>
      </c>
      <c r="I340" s="38" t="s">
        <v>39</v>
      </c>
      <c r="J340" s="38" t="s">
        <v>31</v>
      </c>
      <c r="K340" s="39" t="s">
        <v>1523</v>
      </c>
      <c r="L340" s="40"/>
    </row>
    <row r="341" spans="1:13" ht="51">
      <c r="A341" s="40">
        <v>46151</v>
      </c>
      <c r="B341" s="38">
        <f t="shared" si="6"/>
        <v>19</v>
      </c>
      <c r="C341" s="39" t="s">
        <v>1524</v>
      </c>
      <c r="D341" s="38" t="s">
        <v>66</v>
      </c>
      <c r="E341" s="38" t="s">
        <v>1263</v>
      </c>
      <c r="F341" s="38" t="s">
        <v>915</v>
      </c>
      <c r="G341" s="38" t="s">
        <v>916</v>
      </c>
      <c r="H341" s="38" t="s">
        <v>30</v>
      </c>
      <c r="I341" s="38" t="s">
        <v>32</v>
      </c>
      <c r="J341" s="38" t="s">
        <v>31</v>
      </c>
      <c r="K341" s="39" t="s">
        <v>1525</v>
      </c>
      <c r="L341" s="40"/>
    </row>
    <row r="342" spans="1:13" ht="38.25">
      <c r="A342" s="40">
        <v>46151</v>
      </c>
      <c r="B342" s="38">
        <f t="shared" si="6"/>
        <v>19</v>
      </c>
      <c r="C342" s="39" t="s">
        <v>1526</v>
      </c>
      <c r="D342" s="38" t="s">
        <v>415</v>
      </c>
      <c r="E342" s="38" t="s">
        <v>1263</v>
      </c>
      <c r="F342" s="38" t="s">
        <v>915</v>
      </c>
      <c r="G342" s="38" t="s">
        <v>916</v>
      </c>
      <c r="H342" s="38" t="s">
        <v>33</v>
      </c>
      <c r="I342" s="38" t="s">
        <v>41</v>
      </c>
      <c r="J342" s="38" t="s">
        <v>31</v>
      </c>
      <c r="K342" s="39" t="s">
        <v>1527</v>
      </c>
      <c r="L342" s="40"/>
    </row>
    <row r="343" spans="1:13" ht="102">
      <c r="A343" s="40">
        <v>46151</v>
      </c>
      <c r="B343" s="38">
        <f t="shared" si="6"/>
        <v>19</v>
      </c>
      <c r="D343" s="38" t="s">
        <v>502</v>
      </c>
      <c r="E343" s="38" t="s">
        <v>1296</v>
      </c>
      <c r="F343" s="38" t="s">
        <v>915</v>
      </c>
      <c r="G343" s="38" t="s">
        <v>916</v>
      </c>
      <c r="H343" s="38" t="s">
        <v>466</v>
      </c>
      <c r="K343" s="39" t="s">
        <v>1528</v>
      </c>
      <c r="L343" s="40"/>
    </row>
    <row r="344" spans="1:13" hidden="1">
      <c r="A344" s="40"/>
      <c r="B344" s="38">
        <f t="shared" si="6"/>
        <v>0</v>
      </c>
      <c r="L344" s="40"/>
    </row>
    <row r="345" spans="1:13" hidden="1">
      <c r="A345" s="40"/>
      <c r="B345" s="38">
        <f t="shared" si="6"/>
        <v>0</v>
      </c>
      <c r="L345" s="40"/>
    </row>
    <row r="346" spans="1:13" hidden="1">
      <c r="A346" s="40"/>
      <c r="B346" s="38">
        <f t="shared" si="6"/>
        <v>0</v>
      </c>
      <c r="L346" s="40"/>
    </row>
    <row r="347" spans="1:13" hidden="1">
      <c r="A347" s="40"/>
      <c r="B347" s="38">
        <f t="shared" si="6"/>
        <v>0</v>
      </c>
      <c r="L347" s="40"/>
    </row>
    <row r="348" spans="1:13" hidden="1">
      <c r="A348" s="40"/>
      <c r="B348" s="38">
        <f t="shared" si="6"/>
        <v>0</v>
      </c>
      <c r="L348" s="40"/>
    </row>
    <row r="349" spans="1:13" hidden="1">
      <c r="A349" s="40"/>
      <c r="B349" s="38">
        <f t="shared" si="6"/>
        <v>0</v>
      </c>
      <c r="L349" s="40"/>
    </row>
    <row r="350" spans="1:13" hidden="1">
      <c r="A350" s="40"/>
      <c r="B350" s="38">
        <f t="shared" si="6"/>
        <v>0</v>
      </c>
      <c r="L350" s="40"/>
    </row>
    <row r="351" spans="1:13" hidden="1">
      <c r="A351" s="40"/>
      <c r="B351" s="38">
        <f t="shared" si="6"/>
        <v>0</v>
      </c>
      <c r="L351" s="40"/>
    </row>
    <row r="352" spans="1:13" hidden="1">
      <c r="A352" s="40"/>
      <c r="B352" s="38">
        <f t="shared" si="6"/>
        <v>0</v>
      </c>
      <c r="L352" s="40"/>
    </row>
    <row r="353" spans="1:12" hidden="1">
      <c r="A353" s="40"/>
      <c r="B353" s="38">
        <f t="shared" si="6"/>
        <v>0</v>
      </c>
      <c r="L353" s="40"/>
    </row>
    <row r="354" spans="1:12" hidden="1">
      <c r="A354" s="40"/>
      <c r="B354" s="38">
        <f t="shared" si="6"/>
        <v>0</v>
      </c>
      <c r="L354" s="40"/>
    </row>
    <row r="355" spans="1:12" hidden="1">
      <c r="A355" s="40"/>
      <c r="B355" s="38">
        <f t="shared" si="6"/>
        <v>0</v>
      </c>
      <c r="L355" s="40"/>
    </row>
    <row r="356" spans="1:12" hidden="1">
      <c r="A356" s="40"/>
      <c r="B356" s="38">
        <f t="shared" si="6"/>
        <v>0</v>
      </c>
      <c r="L356" s="40"/>
    </row>
    <row r="357" spans="1:12" hidden="1">
      <c r="A357" s="40"/>
      <c r="B357" s="38">
        <f t="shared" si="6"/>
        <v>0</v>
      </c>
      <c r="L357" s="40"/>
    </row>
    <row r="358" spans="1:12" hidden="1">
      <c r="A358" s="40"/>
      <c r="B358" s="38">
        <f t="shared" si="6"/>
        <v>0</v>
      </c>
      <c r="L358" s="40"/>
    </row>
    <row r="359" spans="1:12" hidden="1">
      <c r="A359" s="40"/>
      <c r="B359" s="38">
        <f t="shared" si="6"/>
        <v>0</v>
      </c>
      <c r="L359" s="40"/>
    </row>
    <row r="360" spans="1:12" hidden="1">
      <c r="A360" s="40"/>
      <c r="B360" s="38">
        <f t="shared" si="6"/>
        <v>0</v>
      </c>
      <c r="L360" s="40"/>
    </row>
    <row r="361" spans="1:12" hidden="1">
      <c r="A361" s="40"/>
      <c r="B361" s="38">
        <f t="shared" si="6"/>
        <v>0</v>
      </c>
      <c r="L361" s="40"/>
    </row>
    <row r="362" spans="1:12" hidden="1">
      <c r="A362" s="40"/>
      <c r="B362" s="38">
        <f t="shared" si="6"/>
        <v>0</v>
      </c>
      <c r="L362" s="40"/>
    </row>
    <row r="363" spans="1:12" hidden="1">
      <c r="A363" s="40"/>
      <c r="B363" s="38">
        <f t="shared" si="6"/>
        <v>0</v>
      </c>
      <c r="L363" s="40"/>
    </row>
    <row r="364" spans="1:12" hidden="1">
      <c r="A364" s="40"/>
      <c r="B364" s="38">
        <f t="shared" si="6"/>
        <v>0</v>
      </c>
      <c r="L364" s="40"/>
    </row>
    <row r="365" spans="1:12" hidden="1">
      <c r="A365" s="40"/>
      <c r="B365" s="38">
        <f t="shared" si="6"/>
        <v>0</v>
      </c>
      <c r="L365" s="40"/>
    </row>
    <row r="366" spans="1:12" hidden="1">
      <c r="A366" s="40"/>
      <c r="B366" s="38">
        <f t="shared" si="6"/>
        <v>0</v>
      </c>
      <c r="L366" s="40"/>
    </row>
    <row r="367" spans="1:12" hidden="1">
      <c r="A367" s="40"/>
      <c r="B367" s="38">
        <f t="shared" si="6"/>
        <v>0</v>
      </c>
      <c r="L367" s="40"/>
    </row>
    <row r="368" spans="1:12" hidden="1">
      <c r="A368" s="40"/>
      <c r="B368" s="38">
        <f t="shared" si="6"/>
        <v>0</v>
      </c>
      <c r="L368" s="40"/>
    </row>
    <row r="369" spans="1:12" hidden="1">
      <c r="A369" s="40"/>
      <c r="B369" s="38">
        <f t="shared" si="6"/>
        <v>0</v>
      </c>
      <c r="L369" s="40"/>
    </row>
    <row r="370" spans="1:12" hidden="1">
      <c r="A370" s="40"/>
      <c r="B370" s="38">
        <f t="shared" si="6"/>
        <v>0</v>
      </c>
      <c r="L370" s="40"/>
    </row>
    <row r="371" spans="1:12" hidden="1">
      <c r="A371" s="40"/>
      <c r="B371" s="38">
        <f t="shared" si="6"/>
        <v>0</v>
      </c>
      <c r="L371" s="40"/>
    </row>
    <row r="372" spans="1:12" hidden="1">
      <c r="A372" s="40"/>
      <c r="B372" s="38">
        <f t="shared" si="6"/>
        <v>0</v>
      </c>
      <c r="L372" s="40"/>
    </row>
    <row r="373" spans="1:12" hidden="1">
      <c r="A373" s="40"/>
      <c r="B373" s="38">
        <f t="shared" si="6"/>
        <v>0</v>
      </c>
      <c r="L373" s="40"/>
    </row>
    <row r="374" spans="1:12" hidden="1">
      <c r="A374" s="40"/>
      <c r="B374" s="38">
        <f t="shared" si="6"/>
        <v>0</v>
      </c>
      <c r="L374" s="40"/>
    </row>
    <row r="375" spans="1:12" hidden="1">
      <c r="A375" s="40"/>
      <c r="B375" s="38">
        <f t="shared" si="6"/>
        <v>0</v>
      </c>
      <c r="L375" s="40"/>
    </row>
    <row r="376" spans="1:12" hidden="1">
      <c r="A376" s="40"/>
      <c r="B376" s="38">
        <f t="shared" si="6"/>
        <v>0</v>
      </c>
      <c r="L376" s="40"/>
    </row>
    <row r="377" spans="1:12" hidden="1">
      <c r="A377" s="40"/>
      <c r="B377" s="38">
        <f t="shared" si="6"/>
        <v>0</v>
      </c>
      <c r="L377" s="40"/>
    </row>
    <row r="378" spans="1:12" hidden="1">
      <c r="A378" s="40"/>
      <c r="B378" s="38">
        <f t="shared" ref="B378:B441" si="7">WEEKNUM(A378)</f>
        <v>0</v>
      </c>
      <c r="L378" s="40"/>
    </row>
    <row r="379" spans="1:12" hidden="1">
      <c r="A379" s="40"/>
      <c r="B379" s="38">
        <f t="shared" si="7"/>
        <v>0</v>
      </c>
      <c r="L379" s="40"/>
    </row>
    <row r="380" spans="1:12" hidden="1">
      <c r="A380" s="40"/>
      <c r="B380" s="38">
        <f t="shared" si="7"/>
        <v>0</v>
      </c>
      <c r="L380" s="40"/>
    </row>
    <row r="381" spans="1:12" hidden="1">
      <c r="A381" s="40"/>
      <c r="B381" s="38">
        <f t="shared" si="7"/>
        <v>0</v>
      </c>
      <c r="L381" s="40"/>
    </row>
    <row r="382" spans="1:12" hidden="1">
      <c r="A382" s="40"/>
      <c r="B382" s="38">
        <f t="shared" si="7"/>
        <v>0</v>
      </c>
      <c r="L382" s="40"/>
    </row>
    <row r="383" spans="1:12" hidden="1">
      <c r="A383" s="40"/>
      <c r="B383" s="38">
        <f t="shared" si="7"/>
        <v>0</v>
      </c>
      <c r="L383" s="40"/>
    </row>
    <row r="384" spans="1:12" hidden="1">
      <c r="A384" s="40"/>
      <c r="B384" s="38">
        <f t="shared" si="7"/>
        <v>0</v>
      </c>
      <c r="L384" s="40"/>
    </row>
    <row r="385" spans="1:12" hidden="1">
      <c r="A385" s="40"/>
      <c r="B385" s="38">
        <f t="shared" si="7"/>
        <v>0</v>
      </c>
      <c r="L385" s="40"/>
    </row>
    <row r="386" spans="1:12" hidden="1">
      <c r="A386" s="40"/>
      <c r="B386" s="38">
        <f t="shared" si="7"/>
        <v>0</v>
      </c>
      <c r="L386" s="40"/>
    </row>
    <row r="387" spans="1:12" hidden="1">
      <c r="A387" s="40"/>
      <c r="B387" s="38">
        <f t="shared" si="7"/>
        <v>0</v>
      </c>
      <c r="L387" s="40"/>
    </row>
    <row r="388" spans="1:12" hidden="1">
      <c r="A388" s="40"/>
      <c r="B388" s="38">
        <f t="shared" si="7"/>
        <v>0</v>
      </c>
      <c r="L388" s="40"/>
    </row>
    <row r="389" spans="1:12" hidden="1">
      <c r="A389" s="40"/>
      <c r="B389" s="38">
        <f t="shared" si="7"/>
        <v>0</v>
      </c>
      <c r="L389" s="40"/>
    </row>
    <row r="390" spans="1:12" hidden="1">
      <c r="A390" s="40"/>
      <c r="B390" s="38">
        <f t="shared" si="7"/>
        <v>0</v>
      </c>
      <c r="L390" s="40"/>
    </row>
    <row r="391" spans="1:12" hidden="1">
      <c r="A391" s="40"/>
      <c r="B391" s="38">
        <f t="shared" si="7"/>
        <v>0</v>
      </c>
      <c r="L391" s="40"/>
    </row>
    <row r="392" spans="1:12" hidden="1">
      <c r="A392" s="40"/>
      <c r="B392" s="38">
        <f t="shared" si="7"/>
        <v>0</v>
      </c>
      <c r="L392" s="40"/>
    </row>
    <row r="393" spans="1:12" hidden="1">
      <c r="A393" s="40"/>
      <c r="B393" s="38">
        <f t="shared" si="7"/>
        <v>0</v>
      </c>
      <c r="L393" s="40"/>
    </row>
    <row r="394" spans="1:12" hidden="1">
      <c r="A394" s="40"/>
      <c r="B394" s="38">
        <f t="shared" si="7"/>
        <v>0</v>
      </c>
      <c r="L394" s="40"/>
    </row>
    <row r="395" spans="1:12" hidden="1">
      <c r="A395" s="40"/>
      <c r="B395" s="38">
        <f t="shared" si="7"/>
        <v>0</v>
      </c>
      <c r="L395" s="40"/>
    </row>
    <row r="396" spans="1:12" hidden="1">
      <c r="A396" s="40"/>
      <c r="B396" s="38">
        <f t="shared" si="7"/>
        <v>0</v>
      </c>
      <c r="L396" s="40"/>
    </row>
    <row r="397" spans="1:12" hidden="1">
      <c r="A397" s="40"/>
      <c r="B397" s="38">
        <f t="shared" si="7"/>
        <v>0</v>
      </c>
      <c r="L397" s="40"/>
    </row>
    <row r="398" spans="1:12" hidden="1">
      <c r="A398" s="40"/>
      <c r="B398" s="38">
        <f t="shared" si="7"/>
        <v>0</v>
      </c>
      <c r="L398" s="40"/>
    </row>
    <row r="399" spans="1:12" hidden="1">
      <c r="A399" s="40"/>
      <c r="B399" s="38">
        <f t="shared" si="7"/>
        <v>0</v>
      </c>
      <c r="L399" s="40"/>
    </row>
    <row r="400" spans="1:12" hidden="1">
      <c r="A400" s="40"/>
      <c r="B400" s="38">
        <f t="shared" si="7"/>
        <v>0</v>
      </c>
      <c r="L400" s="40"/>
    </row>
    <row r="401" spans="1:12" hidden="1">
      <c r="A401" s="40"/>
      <c r="B401" s="38">
        <f t="shared" si="7"/>
        <v>0</v>
      </c>
      <c r="L401" s="40"/>
    </row>
    <row r="402" spans="1:12" hidden="1">
      <c r="A402" s="40"/>
      <c r="B402" s="38">
        <f t="shared" si="7"/>
        <v>0</v>
      </c>
      <c r="L402" s="40"/>
    </row>
    <row r="403" spans="1:12" hidden="1">
      <c r="A403" s="40"/>
      <c r="B403" s="38">
        <f t="shared" si="7"/>
        <v>0</v>
      </c>
      <c r="L403" s="40"/>
    </row>
    <row r="404" spans="1:12" hidden="1">
      <c r="A404" s="40"/>
      <c r="B404" s="38">
        <f t="shared" si="7"/>
        <v>0</v>
      </c>
      <c r="L404" s="40"/>
    </row>
    <row r="405" spans="1:12" hidden="1">
      <c r="A405" s="40"/>
      <c r="B405" s="38">
        <f t="shared" si="7"/>
        <v>0</v>
      </c>
      <c r="L405" s="40"/>
    </row>
    <row r="406" spans="1:12" hidden="1">
      <c r="A406" s="40"/>
      <c r="B406" s="38">
        <f t="shared" si="7"/>
        <v>0</v>
      </c>
      <c r="L406" s="40"/>
    </row>
    <row r="407" spans="1:12" hidden="1">
      <c r="A407" s="40"/>
      <c r="B407" s="38">
        <f t="shared" si="7"/>
        <v>0</v>
      </c>
      <c r="L407" s="40"/>
    </row>
    <row r="408" spans="1:12" hidden="1">
      <c r="A408" s="40"/>
      <c r="B408" s="38">
        <f t="shared" si="7"/>
        <v>0</v>
      </c>
      <c r="L408" s="40"/>
    </row>
    <row r="409" spans="1:12" hidden="1">
      <c r="A409" s="40"/>
      <c r="B409" s="38">
        <f t="shared" si="7"/>
        <v>0</v>
      </c>
      <c r="L409" s="40"/>
    </row>
    <row r="410" spans="1:12" hidden="1">
      <c r="A410" s="40"/>
      <c r="B410" s="38">
        <f t="shared" si="7"/>
        <v>0</v>
      </c>
      <c r="L410" s="40"/>
    </row>
    <row r="411" spans="1:12" hidden="1">
      <c r="A411" s="40"/>
      <c r="B411" s="38">
        <f t="shared" si="7"/>
        <v>0</v>
      </c>
      <c r="L411" s="40"/>
    </row>
    <row r="412" spans="1:12" hidden="1">
      <c r="A412" s="40"/>
      <c r="B412" s="38">
        <f t="shared" si="7"/>
        <v>0</v>
      </c>
      <c r="L412" s="40"/>
    </row>
    <row r="413" spans="1:12" hidden="1">
      <c r="A413" s="40"/>
      <c r="B413" s="38">
        <f t="shared" si="7"/>
        <v>0</v>
      </c>
      <c r="L413" s="40"/>
    </row>
    <row r="414" spans="1:12" hidden="1">
      <c r="A414" s="40"/>
      <c r="B414" s="38">
        <f t="shared" si="7"/>
        <v>0</v>
      </c>
      <c r="L414" s="40"/>
    </row>
    <row r="415" spans="1:12" hidden="1">
      <c r="A415" s="40"/>
      <c r="B415" s="38">
        <f t="shared" si="7"/>
        <v>0</v>
      </c>
      <c r="L415" s="40"/>
    </row>
    <row r="416" spans="1:12" hidden="1">
      <c r="A416" s="40"/>
      <c r="B416" s="38">
        <f t="shared" si="7"/>
        <v>0</v>
      </c>
      <c r="L416" s="40"/>
    </row>
    <row r="417" spans="1:12" hidden="1">
      <c r="A417" s="40"/>
      <c r="B417" s="38">
        <f t="shared" si="7"/>
        <v>0</v>
      </c>
      <c r="L417" s="40"/>
    </row>
    <row r="418" spans="1:12" hidden="1">
      <c r="A418" s="40"/>
      <c r="B418" s="38">
        <f t="shared" si="7"/>
        <v>0</v>
      </c>
      <c r="L418" s="40"/>
    </row>
    <row r="419" spans="1:12" hidden="1">
      <c r="A419" s="40"/>
      <c r="B419" s="38">
        <f t="shared" si="7"/>
        <v>0</v>
      </c>
      <c r="L419" s="40"/>
    </row>
    <row r="420" spans="1:12" hidden="1">
      <c r="A420" s="40"/>
      <c r="B420" s="38">
        <f t="shared" si="7"/>
        <v>0</v>
      </c>
      <c r="L420" s="40"/>
    </row>
    <row r="421" spans="1:12" hidden="1">
      <c r="A421" s="40"/>
      <c r="B421" s="38">
        <f t="shared" si="7"/>
        <v>0</v>
      </c>
      <c r="L421" s="40"/>
    </row>
    <row r="422" spans="1:12" hidden="1">
      <c r="A422" s="40"/>
      <c r="B422" s="38">
        <f t="shared" si="7"/>
        <v>0</v>
      </c>
      <c r="L422" s="40"/>
    </row>
    <row r="423" spans="1:12" hidden="1">
      <c r="A423" s="40"/>
      <c r="B423" s="38">
        <f t="shared" si="7"/>
        <v>0</v>
      </c>
      <c r="L423" s="40"/>
    </row>
    <row r="424" spans="1:12" hidden="1">
      <c r="A424" s="40"/>
      <c r="B424" s="38">
        <f t="shared" si="7"/>
        <v>0</v>
      </c>
      <c r="L424" s="40"/>
    </row>
    <row r="425" spans="1:12" hidden="1">
      <c r="A425" s="40"/>
      <c r="B425" s="38">
        <f t="shared" si="7"/>
        <v>0</v>
      </c>
      <c r="L425" s="40"/>
    </row>
    <row r="426" spans="1:12" hidden="1">
      <c r="A426" s="40"/>
      <c r="B426" s="38">
        <f t="shared" si="7"/>
        <v>0</v>
      </c>
      <c r="L426" s="40"/>
    </row>
    <row r="427" spans="1:12" hidden="1">
      <c r="A427" s="40"/>
      <c r="B427" s="38">
        <f t="shared" si="7"/>
        <v>0</v>
      </c>
      <c r="L427" s="40"/>
    </row>
    <row r="428" spans="1:12" hidden="1">
      <c r="A428" s="40"/>
      <c r="B428" s="38">
        <f t="shared" si="7"/>
        <v>0</v>
      </c>
      <c r="L428" s="40"/>
    </row>
    <row r="429" spans="1:12" hidden="1">
      <c r="A429" s="40"/>
      <c r="B429" s="38">
        <f t="shared" si="7"/>
        <v>0</v>
      </c>
      <c r="L429" s="40"/>
    </row>
    <row r="430" spans="1:12" hidden="1">
      <c r="A430" s="40"/>
      <c r="B430" s="38">
        <f t="shared" si="7"/>
        <v>0</v>
      </c>
      <c r="L430" s="40"/>
    </row>
    <row r="431" spans="1:12" hidden="1">
      <c r="A431" s="40"/>
      <c r="B431" s="38">
        <f t="shared" si="7"/>
        <v>0</v>
      </c>
      <c r="L431" s="40"/>
    </row>
    <row r="432" spans="1:12" hidden="1">
      <c r="A432" s="40"/>
      <c r="B432" s="38">
        <f t="shared" si="7"/>
        <v>0</v>
      </c>
      <c r="L432" s="40"/>
    </row>
    <row r="433" spans="1:12" hidden="1">
      <c r="A433" s="40"/>
      <c r="B433" s="38">
        <f t="shared" si="7"/>
        <v>0</v>
      </c>
      <c r="L433" s="40"/>
    </row>
    <row r="434" spans="1:12" hidden="1">
      <c r="A434" s="40"/>
      <c r="B434" s="38">
        <f t="shared" si="7"/>
        <v>0</v>
      </c>
      <c r="L434" s="40"/>
    </row>
    <row r="435" spans="1:12" hidden="1">
      <c r="A435" s="40"/>
      <c r="B435" s="38">
        <f t="shared" si="7"/>
        <v>0</v>
      </c>
      <c r="L435" s="40"/>
    </row>
    <row r="436" spans="1:12" hidden="1">
      <c r="A436" s="40"/>
      <c r="B436" s="38">
        <f t="shared" si="7"/>
        <v>0</v>
      </c>
      <c r="L436" s="40"/>
    </row>
    <row r="437" spans="1:12" hidden="1">
      <c r="A437" s="40"/>
      <c r="B437" s="38">
        <f t="shared" si="7"/>
        <v>0</v>
      </c>
      <c r="L437" s="40"/>
    </row>
    <row r="438" spans="1:12" hidden="1">
      <c r="A438" s="40"/>
      <c r="B438" s="38">
        <f t="shared" si="7"/>
        <v>0</v>
      </c>
      <c r="L438" s="40"/>
    </row>
    <row r="439" spans="1:12" hidden="1">
      <c r="A439" s="40"/>
      <c r="B439" s="38">
        <f t="shared" si="7"/>
        <v>0</v>
      </c>
      <c r="L439" s="40"/>
    </row>
    <row r="440" spans="1:12" hidden="1">
      <c r="A440" s="40"/>
      <c r="B440" s="38">
        <f t="shared" si="7"/>
        <v>0</v>
      </c>
      <c r="L440" s="40"/>
    </row>
    <row r="441" spans="1:12" hidden="1">
      <c r="A441" s="40"/>
      <c r="B441" s="38">
        <f t="shared" si="7"/>
        <v>0</v>
      </c>
      <c r="L441" s="40"/>
    </row>
    <row r="442" spans="1:12" hidden="1">
      <c r="A442" s="40"/>
      <c r="B442" s="38">
        <f t="shared" ref="B442:B505" si="8">WEEKNUM(A442)</f>
        <v>0</v>
      </c>
      <c r="L442" s="40"/>
    </row>
    <row r="443" spans="1:12" hidden="1">
      <c r="A443" s="40"/>
      <c r="B443" s="38">
        <f t="shared" si="8"/>
        <v>0</v>
      </c>
      <c r="L443" s="40"/>
    </row>
    <row r="444" spans="1:12" hidden="1">
      <c r="A444" s="40"/>
      <c r="B444" s="38">
        <f t="shared" si="8"/>
        <v>0</v>
      </c>
      <c r="L444" s="40"/>
    </row>
    <row r="445" spans="1:12" hidden="1">
      <c r="A445" s="40"/>
      <c r="B445" s="38">
        <f t="shared" si="8"/>
        <v>0</v>
      </c>
      <c r="L445" s="40"/>
    </row>
    <row r="446" spans="1:12" hidden="1">
      <c r="A446" s="40"/>
      <c r="B446" s="38">
        <f t="shared" si="8"/>
        <v>0</v>
      </c>
      <c r="L446" s="40"/>
    </row>
    <row r="447" spans="1:12" hidden="1">
      <c r="A447" s="40"/>
      <c r="B447" s="38">
        <f t="shared" si="8"/>
        <v>0</v>
      </c>
      <c r="L447" s="40"/>
    </row>
    <row r="448" spans="1:12" hidden="1">
      <c r="A448" s="40"/>
      <c r="B448" s="38">
        <f t="shared" si="8"/>
        <v>0</v>
      </c>
      <c r="L448" s="40"/>
    </row>
    <row r="449" spans="1:12" hidden="1">
      <c r="A449" s="40"/>
      <c r="B449" s="38">
        <f t="shared" si="8"/>
        <v>0</v>
      </c>
      <c r="L449" s="40"/>
    </row>
    <row r="450" spans="1:12" hidden="1">
      <c r="A450" s="40"/>
      <c r="B450" s="38">
        <f t="shared" si="8"/>
        <v>0</v>
      </c>
      <c r="L450" s="40"/>
    </row>
    <row r="451" spans="1:12" hidden="1">
      <c r="A451" s="40"/>
      <c r="B451" s="38">
        <f t="shared" si="8"/>
        <v>0</v>
      </c>
      <c r="L451" s="40"/>
    </row>
    <row r="452" spans="1:12" hidden="1">
      <c r="A452" s="40"/>
      <c r="B452" s="38">
        <f t="shared" si="8"/>
        <v>0</v>
      </c>
      <c r="L452" s="40"/>
    </row>
    <row r="453" spans="1:12" hidden="1">
      <c r="A453" s="40"/>
      <c r="B453" s="38">
        <f t="shared" si="8"/>
        <v>0</v>
      </c>
      <c r="L453" s="40"/>
    </row>
    <row r="454" spans="1:12" hidden="1">
      <c r="A454" s="40"/>
      <c r="B454" s="38">
        <f t="shared" si="8"/>
        <v>0</v>
      </c>
      <c r="L454" s="40"/>
    </row>
    <row r="455" spans="1:12" hidden="1">
      <c r="A455" s="40"/>
      <c r="B455" s="38">
        <f t="shared" si="8"/>
        <v>0</v>
      </c>
      <c r="L455" s="40"/>
    </row>
    <row r="456" spans="1:12" hidden="1">
      <c r="A456" s="40"/>
      <c r="B456" s="38">
        <f t="shared" si="8"/>
        <v>0</v>
      </c>
      <c r="L456" s="40"/>
    </row>
    <row r="457" spans="1:12" hidden="1">
      <c r="A457" s="40"/>
      <c r="B457" s="38">
        <f t="shared" si="8"/>
        <v>0</v>
      </c>
      <c r="L457" s="40"/>
    </row>
    <row r="458" spans="1:12" hidden="1">
      <c r="A458" s="40"/>
      <c r="B458" s="38">
        <f t="shared" si="8"/>
        <v>0</v>
      </c>
      <c r="L458" s="40"/>
    </row>
    <row r="459" spans="1:12" hidden="1">
      <c r="A459" s="40"/>
      <c r="B459" s="38">
        <f t="shared" si="8"/>
        <v>0</v>
      </c>
      <c r="L459" s="40"/>
    </row>
    <row r="460" spans="1:12" hidden="1">
      <c r="A460" s="40"/>
      <c r="B460" s="38">
        <f t="shared" si="8"/>
        <v>0</v>
      </c>
      <c r="L460" s="40"/>
    </row>
    <row r="461" spans="1:12" hidden="1">
      <c r="A461" s="40"/>
      <c r="B461" s="38">
        <f t="shared" si="8"/>
        <v>0</v>
      </c>
      <c r="L461" s="40"/>
    </row>
    <row r="462" spans="1:12" hidden="1">
      <c r="A462" s="40"/>
      <c r="B462" s="38">
        <f t="shared" si="8"/>
        <v>0</v>
      </c>
      <c r="L462" s="40"/>
    </row>
    <row r="463" spans="1:12" hidden="1">
      <c r="A463" s="40"/>
      <c r="B463" s="38">
        <f t="shared" si="8"/>
        <v>0</v>
      </c>
      <c r="L463" s="40"/>
    </row>
    <row r="464" spans="1:12" hidden="1">
      <c r="A464" s="40"/>
      <c r="B464" s="38">
        <f t="shared" si="8"/>
        <v>0</v>
      </c>
      <c r="L464" s="40"/>
    </row>
    <row r="465" spans="1:12" hidden="1">
      <c r="A465" s="40"/>
      <c r="B465" s="38">
        <f t="shared" si="8"/>
        <v>0</v>
      </c>
      <c r="L465" s="40"/>
    </row>
    <row r="466" spans="1:12" hidden="1">
      <c r="A466" s="40"/>
      <c r="B466" s="38">
        <f t="shared" si="8"/>
        <v>0</v>
      </c>
      <c r="L466" s="40"/>
    </row>
    <row r="467" spans="1:12" hidden="1">
      <c r="A467" s="40"/>
      <c r="B467" s="38">
        <f t="shared" si="8"/>
        <v>0</v>
      </c>
      <c r="L467" s="40"/>
    </row>
    <row r="468" spans="1:12" hidden="1">
      <c r="A468" s="40"/>
      <c r="B468" s="38">
        <f t="shared" si="8"/>
        <v>0</v>
      </c>
      <c r="L468" s="40"/>
    </row>
    <row r="469" spans="1:12" hidden="1">
      <c r="A469" s="40"/>
      <c r="B469" s="38">
        <f t="shared" si="8"/>
        <v>0</v>
      </c>
      <c r="L469" s="40"/>
    </row>
    <row r="470" spans="1:12" hidden="1">
      <c r="A470" s="40"/>
      <c r="B470" s="38">
        <f t="shared" si="8"/>
        <v>0</v>
      </c>
      <c r="L470" s="40"/>
    </row>
    <row r="471" spans="1:12" hidden="1">
      <c r="A471" s="40"/>
      <c r="B471" s="38">
        <f t="shared" si="8"/>
        <v>0</v>
      </c>
      <c r="L471" s="40"/>
    </row>
    <row r="472" spans="1:12" hidden="1">
      <c r="A472" s="40"/>
      <c r="B472" s="38">
        <f t="shared" si="8"/>
        <v>0</v>
      </c>
      <c r="L472" s="40"/>
    </row>
    <row r="473" spans="1:12" hidden="1">
      <c r="A473" s="40"/>
      <c r="B473" s="38">
        <f t="shared" si="8"/>
        <v>0</v>
      </c>
      <c r="L473" s="40"/>
    </row>
    <row r="474" spans="1:12" hidden="1">
      <c r="A474" s="40"/>
      <c r="B474" s="38">
        <f t="shared" si="8"/>
        <v>0</v>
      </c>
      <c r="L474" s="40"/>
    </row>
    <row r="475" spans="1:12" hidden="1">
      <c r="A475" s="40"/>
      <c r="B475" s="38">
        <f t="shared" si="8"/>
        <v>0</v>
      </c>
      <c r="L475" s="40"/>
    </row>
    <row r="476" spans="1:12" hidden="1">
      <c r="A476" s="40"/>
      <c r="B476" s="38">
        <f t="shared" si="8"/>
        <v>0</v>
      </c>
      <c r="L476" s="40"/>
    </row>
    <row r="477" spans="1:12" hidden="1">
      <c r="A477" s="40"/>
      <c r="B477" s="38">
        <f t="shared" si="8"/>
        <v>0</v>
      </c>
      <c r="L477" s="40"/>
    </row>
    <row r="478" spans="1:12" hidden="1">
      <c r="A478" s="40"/>
      <c r="B478" s="38">
        <f t="shared" si="8"/>
        <v>0</v>
      </c>
      <c r="L478" s="40"/>
    </row>
    <row r="479" spans="1:12" hidden="1">
      <c r="A479" s="40"/>
      <c r="B479" s="38">
        <f t="shared" si="8"/>
        <v>0</v>
      </c>
      <c r="L479" s="40"/>
    </row>
    <row r="480" spans="1:12" hidden="1">
      <c r="A480" s="40"/>
      <c r="B480" s="38">
        <f t="shared" si="8"/>
        <v>0</v>
      </c>
      <c r="L480" s="40"/>
    </row>
    <row r="481" spans="1:12" hidden="1">
      <c r="A481" s="40"/>
      <c r="B481" s="38">
        <f t="shared" si="8"/>
        <v>0</v>
      </c>
      <c r="L481" s="40"/>
    </row>
    <row r="482" spans="1:12" hidden="1">
      <c r="A482" s="40"/>
      <c r="B482" s="38">
        <f t="shared" si="8"/>
        <v>0</v>
      </c>
      <c r="L482" s="40"/>
    </row>
    <row r="483" spans="1:12" hidden="1">
      <c r="A483" s="40"/>
      <c r="B483" s="38">
        <f t="shared" si="8"/>
        <v>0</v>
      </c>
      <c r="L483" s="40"/>
    </row>
    <row r="484" spans="1:12" hidden="1">
      <c r="A484" s="40"/>
      <c r="B484" s="38">
        <f t="shared" si="8"/>
        <v>0</v>
      </c>
      <c r="L484" s="40"/>
    </row>
    <row r="485" spans="1:12" hidden="1">
      <c r="A485" s="40"/>
      <c r="B485" s="38">
        <f t="shared" si="8"/>
        <v>0</v>
      </c>
      <c r="L485" s="40"/>
    </row>
    <row r="486" spans="1:12" hidden="1">
      <c r="A486" s="40"/>
      <c r="B486" s="38">
        <f t="shared" si="8"/>
        <v>0</v>
      </c>
      <c r="L486" s="40"/>
    </row>
    <row r="487" spans="1:12" hidden="1">
      <c r="A487" s="40"/>
      <c r="B487" s="38">
        <f t="shared" si="8"/>
        <v>0</v>
      </c>
      <c r="L487" s="40"/>
    </row>
    <row r="488" spans="1:12" hidden="1">
      <c r="A488" s="40"/>
      <c r="B488" s="38">
        <f t="shared" si="8"/>
        <v>0</v>
      </c>
      <c r="L488" s="40"/>
    </row>
    <row r="489" spans="1:12" hidden="1">
      <c r="A489" s="40"/>
      <c r="B489" s="38">
        <f t="shared" si="8"/>
        <v>0</v>
      </c>
      <c r="L489" s="40"/>
    </row>
    <row r="490" spans="1:12" hidden="1">
      <c r="A490" s="40"/>
      <c r="B490" s="38">
        <f t="shared" si="8"/>
        <v>0</v>
      </c>
      <c r="L490" s="40"/>
    </row>
    <row r="491" spans="1:12" hidden="1">
      <c r="A491" s="40"/>
      <c r="B491" s="38">
        <f t="shared" si="8"/>
        <v>0</v>
      </c>
      <c r="L491" s="40"/>
    </row>
    <row r="492" spans="1:12" hidden="1">
      <c r="A492" s="40"/>
      <c r="B492" s="38">
        <f t="shared" si="8"/>
        <v>0</v>
      </c>
      <c r="L492" s="40"/>
    </row>
    <row r="493" spans="1:12" hidden="1">
      <c r="A493" s="40"/>
      <c r="B493" s="38">
        <f t="shared" si="8"/>
        <v>0</v>
      </c>
      <c r="L493" s="40"/>
    </row>
    <row r="494" spans="1:12" hidden="1">
      <c r="A494" s="40"/>
      <c r="B494" s="38">
        <f t="shared" si="8"/>
        <v>0</v>
      </c>
      <c r="L494" s="40"/>
    </row>
    <row r="495" spans="1:12" hidden="1">
      <c r="A495" s="40"/>
      <c r="B495" s="38">
        <f t="shared" si="8"/>
        <v>0</v>
      </c>
      <c r="L495" s="40"/>
    </row>
    <row r="496" spans="1:12" hidden="1">
      <c r="A496" s="40"/>
      <c r="B496" s="38">
        <f t="shared" si="8"/>
        <v>0</v>
      </c>
      <c r="L496" s="40"/>
    </row>
    <row r="497" spans="1:12" hidden="1">
      <c r="A497" s="40"/>
      <c r="B497" s="38">
        <f t="shared" si="8"/>
        <v>0</v>
      </c>
      <c r="L497" s="40"/>
    </row>
    <row r="498" spans="1:12" hidden="1">
      <c r="A498" s="40"/>
      <c r="B498" s="38">
        <f t="shared" si="8"/>
        <v>0</v>
      </c>
      <c r="L498" s="40"/>
    </row>
    <row r="499" spans="1:12" hidden="1">
      <c r="A499" s="40"/>
      <c r="B499" s="38">
        <f t="shared" si="8"/>
        <v>0</v>
      </c>
      <c r="L499" s="40"/>
    </row>
    <row r="500" spans="1:12" hidden="1">
      <c r="A500" s="40"/>
      <c r="B500" s="38">
        <f t="shared" si="8"/>
        <v>0</v>
      </c>
      <c r="L500" s="40"/>
    </row>
    <row r="501" spans="1:12" hidden="1">
      <c r="A501" s="40"/>
      <c r="B501" s="38">
        <f t="shared" si="8"/>
        <v>0</v>
      </c>
      <c r="L501" s="40"/>
    </row>
    <row r="502" spans="1:12" hidden="1">
      <c r="A502" s="40"/>
      <c r="B502" s="38">
        <f t="shared" si="8"/>
        <v>0</v>
      </c>
      <c r="L502" s="40"/>
    </row>
    <row r="503" spans="1:12" hidden="1">
      <c r="A503" s="40"/>
      <c r="B503" s="38">
        <f t="shared" si="8"/>
        <v>0</v>
      </c>
      <c r="L503" s="40"/>
    </row>
    <row r="504" spans="1:12" hidden="1">
      <c r="A504" s="40"/>
      <c r="B504" s="38">
        <f t="shared" si="8"/>
        <v>0</v>
      </c>
      <c r="L504" s="40"/>
    </row>
    <row r="505" spans="1:12" hidden="1">
      <c r="A505" s="40"/>
      <c r="B505" s="38">
        <f t="shared" si="8"/>
        <v>0</v>
      </c>
      <c r="L505" s="40"/>
    </row>
    <row r="506" spans="1:12" hidden="1">
      <c r="A506" s="40"/>
      <c r="B506" s="38">
        <f t="shared" ref="B506:B569" si="9">WEEKNUM(A506)</f>
        <v>0</v>
      </c>
      <c r="L506" s="40"/>
    </row>
    <row r="507" spans="1:12" hidden="1">
      <c r="A507" s="40"/>
      <c r="B507" s="38">
        <f t="shared" si="9"/>
        <v>0</v>
      </c>
      <c r="L507" s="40"/>
    </row>
    <row r="508" spans="1:12" hidden="1">
      <c r="A508" s="40"/>
      <c r="B508" s="38">
        <f t="shared" si="9"/>
        <v>0</v>
      </c>
      <c r="L508" s="40"/>
    </row>
    <row r="509" spans="1:12" hidden="1">
      <c r="A509" s="40"/>
      <c r="B509" s="38">
        <f t="shared" si="9"/>
        <v>0</v>
      </c>
      <c r="L509" s="40"/>
    </row>
    <row r="510" spans="1:12" hidden="1">
      <c r="A510" s="40"/>
      <c r="B510" s="38">
        <f t="shared" si="9"/>
        <v>0</v>
      </c>
      <c r="L510" s="40"/>
    </row>
    <row r="511" spans="1:12" hidden="1">
      <c r="A511" s="40"/>
      <c r="B511" s="38">
        <f t="shared" si="9"/>
        <v>0</v>
      </c>
      <c r="L511" s="40"/>
    </row>
    <row r="512" spans="1:12" hidden="1">
      <c r="A512" s="40"/>
      <c r="B512" s="38">
        <f t="shared" si="9"/>
        <v>0</v>
      </c>
      <c r="L512" s="40"/>
    </row>
    <row r="513" spans="1:12" hidden="1">
      <c r="A513" s="40"/>
      <c r="B513" s="38">
        <f t="shared" si="9"/>
        <v>0</v>
      </c>
      <c r="L513" s="40"/>
    </row>
    <row r="514" spans="1:12" hidden="1">
      <c r="A514" s="40"/>
      <c r="B514" s="38">
        <f t="shared" si="9"/>
        <v>0</v>
      </c>
      <c r="L514" s="40"/>
    </row>
    <row r="515" spans="1:12" hidden="1">
      <c r="A515" s="40"/>
      <c r="B515" s="38">
        <f t="shared" si="9"/>
        <v>0</v>
      </c>
      <c r="L515" s="40"/>
    </row>
    <row r="516" spans="1:12" hidden="1">
      <c r="A516" s="40"/>
      <c r="B516" s="38">
        <f t="shared" si="9"/>
        <v>0</v>
      </c>
      <c r="L516" s="40"/>
    </row>
    <row r="517" spans="1:12" hidden="1">
      <c r="A517" s="40"/>
      <c r="B517" s="38">
        <f t="shared" si="9"/>
        <v>0</v>
      </c>
      <c r="L517" s="40"/>
    </row>
    <row r="518" spans="1:12" hidden="1">
      <c r="A518" s="40"/>
      <c r="B518" s="38">
        <f t="shared" si="9"/>
        <v>0</v>
      </c>
      <c r="L518" s="40"/>
    </row>
    <row r="519" spans="1:12" hidden="1">
      <c r="A519" s="40"/>
      <c r="B519" s="38">
        <f t="shared" si="9"/>
        <v>0</v>
      </c>
      <c r="L519" s="40"/>
    </row>
    <row r="520" spans="1:12" hidden="1">
      <c r="A520" s="40"/>
      <c r="B520" s="38">
        <f t="shared" si="9"/>
        <v>0</v>
      </c>
      <c r="L520" s="40"/>
    </row>
    <row r="521" spans="1:12" hidden="1">
      <c r="A521" s="40"/>
      <c r="B521" s="38">
        <f t="shared" si="9"/>
        <v>0</v>
      </c>
      <c r="L521" s="40"/>
    </row>
    <row r="522" spans="1:12" hidden="1">
      <c r="A522" s="40"/>
      <c r="B522" s="38">
        <f t="shared" si="9"/>
        <v>0</v>
      </c>
      <c r="L522" s="40"/>
    </row>
    <row r="523" spans="1:12" hidden="1">
      <c r="A523" s="40"/>
      <c r="B523" s="38">
        <f t="shared" si="9"/>
        <v>0</v>
      </c>
      <c r="L523" s="40"/>
    </row>
    <row r="524" spans="1:12" hidden="1">
      <c r="A524" s="40"/>
      <c r="B524" s="38">
        <f t="shared" si="9"/>
        <v>0</v>
      </c>
      <c r="L524" s="40"/>
    </row>
    <row r="525" spans="1:12" hidden="1">
      <c r="A525" s="40"/>
      <c r="B525" s="38">
        <f t="shared" si="9"/>
        <v>0</v>
      </c>
      <c r="L525" s="40"/>
    </row>
    <row r="526" spans="1:12" hidden="1">
      <c r="A526" s="40"/>
      <c r="B526" s="38">
        <f t="shared" si="9"/>
        <v>0</v>
      </c>
      <c r="L526" s="40"/>
    </row>
    <row r="527" spans="1:12" hidden="1">
      <c r="A527" s="40"/>
      <c r="B527" s="38">
        <f t="shared" si="9"/>
        <v>0</v>
      </c>
      <c r="L527" s="40"/>
    </row>
    <row r="528" spans="1:12" hidden="1">
      <c r="A528" s="40"/>
      <c r="B528" s="38">
        <f t="shared" si="9"/>
        <v>0</v>
      </c>
      <c r="L528" s="40"/>
    </row>
    <row r="529" spans="1:12" hidden="1">
      <c r="A529" s="40"/>
      <c r="B529" s="38">
        <f t="shared" si="9"/>
        <v>0</v>
      </c>
      <c r="L529" s="40"/>
    </row>
    <row r="530" spans="1:12" hidden="1">
      <c r="A530" s="40"/>
      <c r="B530" s="38">
        <f t="shared" si="9"/>
        <v>0</v>
      </c>
      <c r="L530" s="40"/>
    </row>
    <row r="531" spans="1:12" hidden="1">
      <c r="A531" s="40"/>
      <c r="B531" s="38">
        <f t="shared" si="9"/>
        <v>0</v>
      </c>
      <c r="L531" s="40"/>
    </row>
    <row r="532" spans="1:12" hidden="1">
      <c r="A532" s="40"/>
      <c r="B532" s="38">
        <f t="shared" si="9"/>
        <v>0</v>
      </c>
      <c r="L532" s="40"/>
    </row>
    <row r="533" spans="1:12" hidden="1">
      <c r="A533" s="40"/>
      <c r="B533" s="38">
        <f t="shared" si="9"/>
        <v>0</v>
      </c>
      <c r="L533" s="40"/>
    </row>
    <row r="534" spans="1:12" hidden="1">
      <c r="A534" s="40"/>
      <c r="B534" s="38">
        <f t="shared" si="9"/>
        <v>0</v>
      </c>
      <c r="L534" s="40"/>
    </row>
    <row r="535" spans="1:12" hidden="1">
      <c r="A535" s="40"/>
      <c r="B535" s="38">
        <f t="shared" si="9"/>
        <v>0</v>
      </c>
      <c r="L535" s="40"/>
    </row>
    <row r="536" spans="1:12" hidden="1">
      <c r="A536" s="40"/>
      <c r="B536" s="38">
        <f t="shared" si="9"/>
        <v>0</v>
      </c>
      <c r="L536" s="40"/>
    </row>
    <row r="537" spans="1:12" hidden="1">
      <c r="A537" s="40"/>
      <c r="B537" s="38">
        <f t="shared" si="9"/>
        <v>0</v>
      </c>
      <c r="L537" s="40"/>
    </row>
    <row r="538" spans="1:12" hidden="1">
      <c r="A538" s="40"/>
      <c r="B538" s="38">
        <f t="shared" si="9"/>
        <v>0</v>
      </c>
      <c r="L538" s="40"/>
    </row>
    <row r="539" spans="1:12" hidden="1">
      <c r="A539" s="40"/>
      <c r="B539" s="38">
        <f t="shared" si="9"/>
        <v>0</v>
      </c>
      <c r="L539" s="40"/>
    </row>
    <row r="540" spans="1:12" hidden="1">
      <c r="A540" s="40"/>
      <c r="B540" s="38">
        <f t="shared" si="9"/>
        <v>0</v>
      </c>
      <c r="L540" s="40"/>
    </row>
    <row r="541" spans="1:12" hidden="1">
      <c r="A541" s="40"/>
      <c r="B541" s="38">
        <f t="shared" si="9"/>
        <v>0</v>
      </c>
      <c r="L541" s="40"/>
    </row>
    <row r="542" spans="1:12" hidden="1">
      <c r="A542" s="40"/>
      <c r="B542" s="38">
        <f t="shared" si="9"/>
        <v>0</v>
      </c>
      <c r="L542" s="40"/>
    </row>
    <row r="543" spans="1:12" hidden="1">
      <c r="A543" s="40"/>
      <c r="B543" s="38">
        <f t="shared" si="9"/>
        <v>0</v>
      </c>
      <c r="L543" s="40"/>
    </row>
    <row r="544" spans="1:12" hidden="1">
      <c r="A544" s="40"/>
      <c r="B544" s="38">
        <f t="shared" si="9"/>
        <v>0</v>
      </c>
      <c r="L544" s="40"/>
    </row>
    <row r="545" spans="1:12" hidden="1">
      <c r="A545" s="40"/>
      <c r="B545" s="38">
        <f t="shared" si="9"/>
        <v>0</v>
      </c>
      <c r="L545" s="40"/>
    </row>
    <row r="546" spans="1:12" hidden="1">
      <c r="A546" s="40"/>
      <c r="B546" s="38">
        <f t="shared" si="9"/>
        <v>0</v>
      </c>
      <c r="L546" s="40"/>
    </row>
    <row r="547" spans="1:12" hidden="1">
      <c r="A547" s="40"/>
      <c r="B547" s="38">
        <f t="shared" si="9"/>
        <v>0</v>
      </c>
      <c r="L547" s="40"/>
    </row>
    <row r="548" spans="1:12" hidden="1">
      <c r="A548" s="40"/>
      <c r="B548" s="38">
        <f t="shared" si="9"/>
        <v>0</v>
      </c>
      <c r="L548" s="40"/>
    </row>
    <row r="549" spans="1:12" hidden="1">
      <c r="A549" s="40"/>
      <c r="B549" s="38">
        <f t="shared" si="9"/>
        <v>0</v>
      </c>
      <c r="L549" s="40"/>
    </row>
    <row r="550" spans="1:12" hidden="1">
      <c r="A550" s="40"/>
      <c r="B550" s="38">
        <f t="shared" si="9"/>
        <v>0</v>
      </c>
      <c r="L550" s="40"/>
    </row>
    <row r="551" spans="1:12" hidden="1">
      <c r="A551" s="40"/>
      <c r="B551" s="38">
        <f t="shared" si="9"/>
        <v>0</v>
      </c>
      <c r="L551" s="40"/>
    </row>
    <row r="552" spans="1:12" hidden="1">
      <c r="A552" s="40"/>
      <c r="B552" s="38">
        <f t="shared" si="9"/>
        <v>0</v>
      </c>
      <c r="L552" s="40"/>
    </row>
    <row r="553" spans="1:12" hidden="1">
      <c r="A553" s="40"/>
      <c r="B553" s="38">
        <f t="shared" si="9"/>
        <v>0</v>
      </c>
      <c r="L553" s="40"/>
    </row>
    <row r="554" spans="1:12" hidden="1">
      <c r="A554" s="40"/>
      <c r="B554" s="38">
        <f t="shared" si="9"/>
        <v>0</v>
      </c>
      <c r="L554" s="40"/>
    </row>
    <row r="555" spans="1:12" hidden="1">
      <c r="A555" s="40"/>
      <c r="B555" s="38">
        <f t="shared" si="9"/>
        <v>0</v>
      </c>
      <c r="L555" s="40"/>
    </row>
    <row r="556" spans="1:12" hidden="1">
      <c r="A556" s="40"/>
      <c r="B556" s="38">
        <f t="shared" si="9"/>
        <v>0</v>
      </c>
      <c r="L556" s="40"/>
    </row>
    <row r="557" spans="1:12" hidden="1">
      <c r="A557" s="40"/>
      <c r="B557" s="38">
        <f t="shared" si="9"/>
        <v>0</v>
      </c>
      <c r="L557" s="40"/>
    </row>
    <row r="558" spans="1:12" hidden="1">
      <c r="A558" s="40"/>
      <c r="B558" s="38">
        <f t="shared" si="9"/>
        <v>0</v>
      </c>
      <c r="L558" s="40"/>
    </row>
    <row r="559" spans="1:12" hidden="1">
      <c r="A559" s="40"/>
      <c r="B559" s="38">
        <f t="shared" si="9"/>
        <v>0</v>
      </c>
      <c r="L559" s="40"/>
    </row>
    <row r="560" spans="1:12" hidden="1">
      <c r="A560" s="40"/>
      <c r="B560" s="38">
        <f t="shared" si="9"/>
        <v>0</v>
      </c>
      <c r="L560" s="40"/>
    </row>
    <row r="561" spans="1:12" hidden="1">
      <c r="A561" s="40"/>
      <c r="B561" s="38">
        <f t="shared" si="9"/>
        <v>0</v>
      </c>
      <c r="L561" s="40"/>
    </row>
    <row r="562" spans="1:12" hidden="1">
      <c r="A562" s="40"/>
      <c r="B562" s="38">
        <f t="shared" si="9"/>
        <v>0</v>
      </c>
      <c r="L562" s="40"/>
    </row>
    <row r="563" spans="1:12" hidden="1">
      <c r="A563" s="40"/>
      <c r="B563" s="38">
        <f t="shared" si="9"/>
        <v>0</v>
      </c>
      <c r="L563" s="40"/>
    </row>
    <row r="564" spans="1:12" hidden="1">
      <c r="A564" s="40"/>
      <c r="B564" s="38">
        <f t="shared" si="9"/>
        <v>0</v>
      </c>
      <c r="L564" s="40"/>
    </row>
    <row r="565" spans="1:12" hidden="1">
      <c r="A565" s="40"/>
      <c r="B565" s="38">
        <f t="shared" si="9"/>
        <v>0</v>
      </c>
      <c r="L565" s="40"/>
    </row>
    <row r="566" spans="1:12" hidden="1">
      <c r="A566" s="40"/>
      <c r="B566" s="38">
        <f t="shared" si="9"/>
        <v>0</v>
      </c>
      <c r="L566" s="40"/>
    </row>
    <row r="567" spans="1:12" hidden="1">
      <c r="A567" s="40"/>
      <c r="B567" s="38">
        <f t="shared" si="9"/>
        <v>0</v>
      </c>
      <c r="L567" s="40"/>
    </row>
    <row r="568" spans="1:12" hidden="1">
      <c r="A568" s="40"/>
      <c r="B568" s="38">
        <f t="shared" si="9"/>
        <v>0</v>
      </c>
      <c r="L568" s="40"/>
    </row>
    <row r="569" spans="1:12" hidden="1">
      <c r="A569" s="40"/>
      <c r="B569" s="38">
        <f t="shared" si="9"/>
        <v>0</v>
      </c>
      <c r="L569" s="40"/>
    </row>
    <row r="570" spans="1:12" hidden="1">
      <c r="A570" s="40"/>
      <c r="B570" s="38">
        <f t="shared" ref="B570:B633" si="10">WEEKNUM(A570)</f>
        <v>0</v>
      </c>
      <c r="L570" s="40"/>
    </row>
    <row r="571" spans="1:12" hidden="1">
      <c r="A571" s="40"/>
      <c r="B571" s="38">
        <f t="shared" si="10"/>
        <v>0</v>
      </c>
      <c r="L571" s="40"/>
    </row>
    <row r="572" spans="1:12" hidden="1">
      <c r="A572" s="40"/>
      <c r="B572" s="38">
        <f t="shared" si="10"/>
        <v>0</v>
      </c>
      <c r="L572" s="40"/>
    </row>
    <row r="573" spans="1:12" hidden="1">
      <c r="A573" s="40"/>
      <c r="B573" s="38">
        <f t="shared" si="10"/>
        <v>0</v>
      </c>
      <c r="L573" s="40"/>
    </row>
    <row r="574" spans="1:12" hidden="1">
      <c r="A574" s="40"/>
      <c r="B574" s="38">
        <f t="shared" si="10"/>
        <v>0</v>
      </c>
      <c r="L574" s="40"/>
    </row>
    <row r="575" spans="1:12" hidden="1">
      <c r="A575" s="40"/>
      <c r="B575" s="38">
        <f t="shared" si="10"/>
        <v>0</v>
      </c>
      <c r="L575" s="40"/>
    </row>
    <row r="576" spans="1:12" hidden="1">
      <c r="A576" s="40"/>
      <c r="B576" s="38">
        <f t="shared" si="10"/>
        <v>0</v>
      </c>
      <c r="L576" s="40"/>
    </row>
    <row r="577" spans="1:12" hidden="1">
      <c r="A577" s="40"/>
      <c r="B577" s="38">
        <f t="shared" si="10"/>
        <v>0</v>
      </c>
      <c r="L577" s="40"/>
    </row>
    <row r="578" spans="1:12" hidden="1">
      <c r="A578" s="40"/>
      <c r="B578" s="38">
        <f t="shared" si="10"/>
        <v>0</v>
      </c>
      <c r="L578" s="40"/>
    </row>
    <row r="579" spans="1:12" hidden="1">
      <c r="A579" s="40"/>
      <c r="B579" s="38">
        <f t="shared" si="10"/>
        <v>0</v>
      </c>
      <c r="L579" s="40"/>
    </row>
    <row r="580" spans="1:12" hidden="1">
      <c r="A580" s="40"/>
      <c r="B580" s="38">
        <f t="shared" si="10"/>
        <v>0</v>
      </c>
      <c r="L580" s="40"/>
    </row>
    <row r="581" spans="1:12" hidden="1">
      <c r="A581" s="40"/>
      <c r="B581" s="38">
        <f t="shared" si="10"/>
        <v>0</v>
      </c>
      <c r="L581" s="40"/>
    </row>
    <row r="582" spans="1:12" hidden="1">
      <c r="A582" s="40"/>
      <c r="B582" s="38">
        <f t="shared" si="10"/>
        <v>0</v>
      </c>
      <c r="L582" s="40"/>
    </row>
    <row r="583" spans="1:12" hidden="1">
      <c r="A583" s="40"/>
      <c r="B583" s="38">
        <f t="shared" si="10"/>
        <v>0</v>
      </c>
      <c r="L583" s="40"/>
    </row>
    <row r="584" spans="1:12" hidden="1">
      <c r="A584" s="40"/>
      <c r="B584" s="38">
        <f t="shared" si="10"/>
        <v>0</v>
      </c>
      <c r="L584" s="40"/>
    </row>
    <row r="585" spans="1:12" hidden="1">
      <c r="A585" s="40"/>
      <c r="B585" s="38">
        <f t="shared" si="10"/>
        <v>0</v>
      </c>
      <c r="L585" s="40"/>
    </row>
    <row r="586" spans="1:12" hidden="1">
      <c r="A586" s="40"/>
      <c r="B586" s="38">
        <f t="shared" si="10"/>
        <v>0</v>
      </c>
      <c r="L586" s="40"/>
    </row>
    <row r="587" spans="1:12" hidden="1">
      <c r="A587" s="40"/>
      <c r="B587" s="38">
        <f t="shared" si="10"/>
        <v>0</v>
      </c>
      <c r="L587" s="40"/>
    </row>
    <row r="588" spans="1:12" hidden="1">
      <c r="A588" s="40"/>
      <c r="B588" s="38">
        <f t="shared" si="10"/>
        <v>0</v>
      </c>
      <c r="L588" s="40"/>
    </row>
    <row r="589" spans="1:12" hidden="1">
      <c r="A589" s="40"/>
      <c r="B589" s="38">
        <f t="shared" si="10"/>
        <v>0</v>
      </c>
      <c r="L589" s="40"/>
    </row>
    <row r="590" spans="1:12" hidden="1">
      <c r="A590" s="40"/>
      <c r="B590" s="38">
        <f t="shared" si="10"/>
        <v>0</v>
      </c>
      <c r="L590" s="40"/>
    </row>
    <row r="591" spans="1:12" hidden="1">
      <c r="A591" s="40"/>
      <c r="B591" s="38">
        <f t="shared" si="10"/>
        <v>0</v>
      </c>
      <c r="L591" s="40"/>
    </row>
    <row r="592" spans="1:12" hidden="1">
      <c r="A592" s="40"/>
      <c r="B592" s="38">
        <f t="shared" si="10"/>
        <v>0</v>
      </c>
      <c r="L592" s="40"/>
    </row>
    <row r="593" spans="1:12" hidden="1">
      <c r="A593" s="40"/>
      <c r="B593" s="38">
        <f t="shared" si="10"/>
        <v>0</v>
      </c>
      <c r="L593" s="40"/>
    </row>
    <row r="594" spans="1:12" hidden="1">
      <c r="A594" s="40"/>
      <c r="B594" s="38">
        <f t="shared" si="10"/>
        <v>0</v>
      </c>
      <c r="L594" s="40"/>
    </row>
    <row r="595" spans="1:12" hidden="1">
      <c r="A595" s="40"/>
      <c r="B595" s="38">
        <f t="shared" si="10"/>
        <v>0</v>
      </c>
      <c r="L595" s="40"/>
    </row>
    <row r="596" spans="1:12" hidden="1">
      <c r="A596" s="40"/>
      <c r="B596" s="38">
        <f t="shared" si="10"/>
        <v>0</v>
      </c>
      <c r="L596" s="40"/>
    </row>
    <row r="597" spans="1:12" hidden="1">
      <c r="A597" s="40"/>
      <c r="B597" s="38">
        <f t="shared" si="10"/>
        <v>0</v>
      </c>
      <c r="L597" s="40"/>
    </row>
    <row r="598" spans="1:12" hidden="1">
      <c r="A598" s="40"/>
      <c r="B598" s="38">
        <f t="shared" si="10"/>
        <v>0</v>
      </c>
      <c r="L598" s="40"/>
    </row>
    <row r="599" spans="1:12" hidden="1">
      <c r="A599" s="40"/>
      <c r="B599" s="38">
        <f t="shared" si="10"/>
        <v>0</v>
      </c>
      <c r="L599" s="40"/>
    </row>
    <row r="600" spans="1:12" hidden="1">
      <c r="A600" s="40"/>
      <c r="B600" s="38">
        <f t="shared" si="10"/>
        <v>0</v>
      </c>
      <c r="L600" s="40"/>
    </row>
    <row r="601" spans="1:12" hidden="1">
      <c r="A601" s="40"/>
      <c r="B601" s="38">
        <f t="shared" si="10"/>
        <v>0</v>
      </c>
      <c r="L601" s="40"/>
    </row>
    <row r="602" spans="1:12" hidden="1">
      <c r="A602" s="40"/>
      <c r="B602" s="38">
        <f t="shared" si="10"/>
        <v>0</v>
      </c>
      <c r="L602" s="40"/>
    </row>
    <row r="603" spans="1:12" ht="51">
      <c r="A603" s="40">
        <v>46151</v>
      </c>
      <c r="B603" s="38">
        <f t="shared" si="10"/>
        <v>19</v>
      </c>
      <c r="C603" s="39" t="s">
        <v>1529</v>
      </c>
      <c r="D603" s="38" t="s">
        <v>241</v>
      </c>
      <c r="E603" s="38" t="s">
        <v>1284</v>
      </c>
      <c r="F603" s="38" t="s">
        <v>915</v>
      </c>
      <c r="G603" s="38" t="s">
        <v>916</v>
      </c>
      <c r="H603" s="38" t="s">
        <v>30</v>
      </c>
      <c r="I603" s="38" t="s">
        <v>41</v>
      </c>
      <c r="J603" s="38" t="s">
        <v>40</v>
      </c>
      <c r="K603" s="39" t="s">
        <v>1530</v>
      </c>
      <c r="L603" s="40"/>
    </row>
    <row r="604" spans="1:12" ht="25.5">
      <c r="A604" s="40">
        <v>46151</v>
      </c>
      <c r="B604" s="38">
        <f t="shared" ref="B604:B666" si="11">WEEKNUM(A604)</f>
        <v>19</v>
      </c>
      <c r="E604" s="38" t="s">
        <v>1266</v>
      </c>
      <c r="F604" s="38" t="s">
        <v>961</v>
      </c>
      <c r="K604" s="39" t="s">
        <v>1531</v>
      </c>
      <c r="L604" s="40"/>
    </row>
    <row r="605" spans="1:12" ht="25.5">
      <c r="A605" s="40">
        <v>46151</v>
      </c>
      <c r="B605" s="38">
        <f t="shared" si="11"/>
        <v>19</v>
      </c>
      <c r="E605" s="38" t="s">
        <v>1278</v>
      </c>
      <c r="F605" s="38" t="s">
        <v>961</v>
      </c>
      <c r="K605" s="39" t="s">
        <v>1531</v>
      </c>
      <c r="L605" s="40"/>
    </row>
    <row r="606" spans="1:12" ht="38.25">
      <c r="A606" s="40">
        <v>46151</v>
      </c>
      <c r="B606" s="38">
        <f t="shared" si="11"/>
        <v>19</v>
      </c>
      <c r="C606" s="39" t="s">
        <v>1524</v>
      </c>
      <c r="D606" s="38" t="s">
        <v>66</v>
      </c>
      <c r="E606" s="38" t="s">
        <v>1280</v>
      </c>
      <c r="F606" s="38" t="s">
        <v>947</v>
      </c>
      <c r="G606" s="38" t="s">
        <v>916</v>
      </c>
      <c r="H606" s="38" t="s">
        <v>30</v>
      </c>
      <c r="I606" s="38" t="s">
        <v>32</v>
      </c>
      <c r="J606" s="38" t="s">
        <v>31</v>
      </c>
      <c r="K606" s="39" t="s">
        <v>1532</v>
      </c>
      <c r="L606" s="40"/>
    </row>
    <row r="607" spans="1:12" ht="63.75">
      <c r="A607" s="40">
        <v>46151</v>
      </c>
      <c r="B607" s="38">
        <f t="shared" si="11"/>
        <v>19</v>
      </c>
      <c r="C607" s="39" t="s">
        <v>1533</v>
      </c>
      <c r="D607" s="38" t="s">
        <v>249</v>
      </c>
      <c r="E607" s="38" t="s">
        <v>1269</v>
      </c>
      <c r="F607" s="38" t="s">
        <v>915</v>
      </c>
      <c r="G607" s="38" t="s">
        <v>916</v>
      </c>
      <c r="H607" s="38" t="s">
        <v>30</v>
      </c>
      <c r="I607" s="38" t="s">
        <v>225</v>
      </c>
      <c r="J607" s="38" t="s">
        <v>34</v>
      </c>
      <c r="K607" s="39" t="s">
        <v>1534</v>
      </c>
      <c r="L607" s="40"/>
    </row>
    <row r="608" spans="1:12" ht="38.25">
      <c r="A608" s="40">
        <v>46151</v>
      </c>
      <c r="B608" s="38">
        <f t="shared" si="11"/>
        <v>19</v>
      </c>
      <c r="F608" s="38" t="s">
        <v>961</v>
      </c>
      <c r="K608" s="39" t="s">
        <v>1510</v>
      </c>
      <c r="L608" s="40"/>
    </row>
    <row r="609" spans="1:12">
      <c r="A609" s="58">
        <v>46151</v>
      </c>
      <c r="B609" s="59">
        <f t="shared" si="11"/>
        <v>19</v>
      </c>
      <c r="C609" s="60"/>
      <c r="D609" s="59"/>
      <c r="E609" s="59"/>
      <c r="F609" s="59"/>
      <c r="G609" s="59"/>
      <c r="H609" s="59"/>
      <c r="I609" s="59"/>
      <c r="J609" s="59"/>
      <c r="K609" s="60"/>
      <c r="L609" s="58"/>
    </row>
    <row r="610" spans="1:12" ht="38.25">
      <c r="A610" s="40">
        <v>46152</v>
      </c>
      <c r="B610" s="38">
        <f t="shared" si="11"/>
        <v>20</v>
      </c>
      <c r="C610" s="39" t="s">
        <v>1524</v>
      </c>
      <c r="D610" s="38" t="s">
        <v>66</v>
      </c>
      <c r="E610" s="38" t="s">
        <v>1260</v>
      </c>
      <c r="F610" s="38" t="s">
        <v>915</v>
      </c>
      <c r="G610" s="38" t="s">
        <v>916</v>
      </c>
      <c r="H610" s="38" t="s">
        <v>30</v>
      </c>
      <c r="I610" s="38" t="s">
        <v>32</v>
      </c>
      <c r="J610" s="38" t="s">
        <v>31</v>
      </c>
      <c r="K610" s="39" t="s">
        <v>1535</v>
      </c>
      <c r="L610" s="40"/>
    </row>
    <row r="611" spans="1:12" ht="76.5">
      <c r="A611" s="40">
        <v>46152</v>
      </c>
      <c r="B611" s="38">
        <f t="shared" si="11"/>
        <v>20</v>
      </c>
      <c r="C611" s="39" t="s">
        <v>1493</v>
      </c>
      <c r="D611" s="38" t="s">
        <v>232</v>
      </c>
      <c r="E611" s="38" t="s">
        <v>1260</v>
      </c>
      <c r="F611" s="38" t="s">
        <v>915</v>
      </c>
      <c r="G611" s="38" t="s">
        <v>916</v>
      </c>
      <c r="H611" s="38" t="s">
        <v>30</v>
      </c>
      <c r="I611" s="38" t="s">
        <v>32</v>
      </c>
      <c r="J611" s="38" t="s">
        <v>31</v>
      </c>
      <c r="K611" s="39" t="s">
        <v>1536</v>
      </c>
      <c r="L611" s="40"/>
    </row>
    <row r="612" spans="1:12" ht="51">
      <c r="A612" s="40">
        <v>46152</v>
      </c>
      <c r="B612" s="38">
        <f t="shared" si="11"/>
        <v>20</v>
      </c>
      <c r="C612" s="39" t="s">
        <v>1537</v>
      </c>
      <c r="D612" s="38" t="s">
        <v>543</v>
      </c>
      <c r="E612" s="38" t="s">
        <v>1263</v>
      </c>
      <c r="F612" s="38" t="s">
        <v>915</v>
      </c>
      <c r="G612" s="38" t="s">
        <v>916</v>
      </c>
      <c r="H612" s="38" t="s">
        <v>30</v>
      </c>
      <c r="I612" s="38" t="s">
        <v>32</v>
      </c>
      <c r="J612" s="38" t="s">
        <v>31</v>
      </c>
      <c r="K612" s="39" t="s">
        <v>1538</v>
      </c>
      <c r="L612" s="40"/>
    </row>
    <row r="613" spans="1:12" ht="51">
      <c r="A613" s="40">
        <v>46152</v>
      </c>
      <c r="B613" s="38">
        <f t="shared" si="11"/>
        <v>20</v>
      </c>
      <c r="C613" s="39" t="s">
        <v>1537</v>
      </c>
      <c r="D613" s="38" t="s">
        <v>631</v>
      </c>
      <c r="E613" s="38" t="s">
        <v>1263</v>
      </c>
      <c r="F613" s="38" t="s">
        <v>915</v>
      </c>
      <c r="G613" s="38" t="s">
        <v>916</v>
      </c>
      <c r="H613" s="38" t="s">
        <v>30</v>
      </c>
      <c r="I613" s="38" t="s">
        <v>32</v>
      </c>
      <c r="J613" s="38" t="s">
        <v>31</v>
      </c>
      <c r="K613" s="39" t="s">
        <v>1538</v>
      </c>
      <c r="L613" s="40"/>
    </row>
    <row r="614" spans="1:12" ht="25.5">
      <c r="A614" s="40">
        <v>46152</v>
      </c>
      <c r="B614" s="38">
        <f t="shared" si="11"/>
        <v>20</v>
      </c>
      <c r="C614" s="39" t="s">
        <v>1524</v>
      </c>
      <c r="D614" s="38" t="s">
        <v>66</v>
      </c>
      <c r="E614" s="38" t="s">
        <v>1296</v>
      </c>
      <c r="F614" s="38" t="s">
        <v>915</v>
      </c>
      <c r="G614" s="38" t="s">
        <v>916</v>
      </c>
      <c r="H614" s="38" t="s">
        <v>30</v>
      </c>
      <c r="I614" s="38" t="s">
        <v>32</v>
      </c>
      <c r="J614" s="38" t="s">
        <v>31</v>
      </c>
      <c r="K614" s="39" t="s">
        <v>1539</v>
      </c>
      <c r="L614" s="40"/>
    </row>
    <row r="615" spans="1:12" ht="25.5">
      <c r="A615" s="40">
        <v>46152</v>
      </c>
      <c r="B615" s="38">
        <f t="shared" si="11"/>
        <v>20</v>
      </c>
      <c r="C615" s="39" t="s">
        <v>1499</v>
      </c>
      <c r="D615" s="38" t="s">
        <v>582</v>
      </c>
      <c r="E615" s="38" t="s">
        <v>1296</v>
      </c>
      <c r="F615" s="38" t="s">
        <v>915</v>
      </c>
      <c r="G615" s="38" t="s">
        <v>916</v>
      </c>
      <c r="H615" s="38" t="s">
        <v>30</v>
      </c>
      <c r="I615" s="38" t="s">
        <v>32</v>
      </c>
      <c r="J615" s="38" t="s">
        <v>31</v>
      </c>
      <c r="K615" s="39" t="s">
        <v>1540</v>
      </c>
      <c r="L615" s="40"/>
    </row>
    <row r="616" spans="1:12" ht="38.25">
      <c r="A616" s="40">
        <v>46152</v>
      </c>
      <c r="B616" s="38">
        <f t="shared" si="11"/>
        <v>20</v>
      </c>
      <c r="C616" s="39" t="s">
        <v>1524</v>
      </c>
      <c r="D616" s="38" t="s">
        <v>66</v>
      </c>
      <c r="E616" s="38" t="s">
        <v>1284</v>
      </c>
      <c r="F616" s="38" t="s">
        <v>947</v>
      </c>
      <c r="G616" s="38" t="s">
        <v>916</v>
      </c>
      <c r="H616" s="38" t="s">
        <v>30</v>
      </c>
      <c r="I616" s="38" t="s">
        <v>32</v>
      </c>
      <c r="J616" s="38" t="s">
        <v>31</v>
      </c>
      <c r="K616" s="39" t="s">
        <v>1541</v>
      </c>
      <c r="L616" s="40"/>
    </row>
    <row r="617" spans="1:12">
      <c r="A617" s="40">
        <v>46152</v>
      </c>
      <c r="B617" s="38">
        <f t="shared" si="11"/>
        <v>20</v>
      </c>
      <c r="E617" s="38" t="s">
        <v>1266</v>
      </c>
      <c r="F617" s="38" t="s">
        <v>990</v>
      </c>
      <c r="J617" s="38" t="s">
        <v>31</v>
      </c>
      <c r="K617" s="39" t="s">
        <v>1542</v>
      </c>
      <c r="L617" s="40"/>
    </row>
    <row r="618" spans="1:12">
      <c r="A618" s="40">
        <v>46152</v>
      </c>
      <c r="B618" s="38">
        <f t="shared" si="11"/>
        <v>20</v>
      </c>
      <c r="E618" s="38" t="s">
        <v>1278</v>
      </c>
      <c r="F618" s="38" t="s">
        <v>990</v>
      </c>
      <c r="J618" s="38" t="s">
        <v>31</v>
      </c>
      <c r="L618" s="40"/>
    </row>
    <row r="619" spans="1:12">
      <c r="A619" s="40">
        <v>46152</v>
      </c>
      <c r="B619" s="38">
        <f t="shared" si="11"/>
        <v>20</v>
      </c>
      <c r="E619" s="38" t="s">
        <v>1280</v>
      </c>
      <c r="F619" s="38" t="s">
        <v>990</v>
      </c>
      <c r="J619" s="38" t="s">
        <v>31</v>
      </c>
      <c r="L619" s="40"/>
    </row>
    <row r="620" spans="1:12" ht="76.5">
      <c r="A620" s="40">
        <v>46152</v>
      </c>
      <c r="B620" s="38">
        <f t="shared" si="11"/>
        <v>20</v>
      </c>
      <c r="C620" s="39" t="s">
        <v>1543</v>
      </c>
      <c r="D620" s="38" t="s">
        <v>635</v>
      </c>
      <c r="E620" s="38" t="s">
        <v>1280</v>
      </c>
      <c r="F620" s="38" t="s">
        <v>915</v>
      </c>
      <c r="G620" s="38" t="s">
        <v>991</v>
      </c>
      <c r="H620" s="38" t="s">
        <v>30</v>
      </c>
      <c r="I620" s="38" t="s">
        <v>32</v>
      </c>
      <c r="J620" s="38" t="s">
        <v>31</v>
      </c>
      <c r="K620" s="39" t="s">
        <v>1544</v>
      </c>
      <c r="L620" s="40"/>
    </row>
    <row r="621" spans="1:12" ht="25.5">
      <c r="A621" s="40">
        <v>46152</v>
      </c>
      <c r="B621" s="38">
        <f t="shared" si="11"/>
        <v>20</v>
      </c>
      <c r="C621" s="39" t="s">
        <v>466</v>
      </c>
      <c r="D621" s="38" t="s">
        <v>639</v>
      </c>
      <c r="E621" s="38" t="s">
        <v>1280</v>
      </c>
      <c r="F621" s="38" t="s">
        <v>915</v>
      </c>
      <c r="G621" s="38" t="s">
        <v>991</v>
      </c>
      <c r="J621" s="38" t="s">
        <v>31</v>
      </c>
      <c r="K621" s="39" t="s">
        <v>1545</v>
      </c>
      <c r="L621" s="40"/>
    </row>
    <row r="622" spans="1:12" ht="76.5">
      <c r="A622" s="40">
        <v>46152</v>
      </c>
      <c r="B622" s="38">
        <f t="shared" si="11"/>
        <v>20</v>
      </c>
      <c r="C622" s="39" t="s">
        <v>1546</v>
      </c>
      <c r="D622" s="38" t="s">
        <v>643</v>
      </c>
      <c r="E622" s="38" t="s">
        <v>1269</v>
      </c>
      <c r="F622" s="38" t="s">
        <v>915</v>
      </c>
      <c r="G622" s="38" t="s">
        <v>991</v>
      </c>
      <c r="J622" s="38" t="s">
        <v>31</v>
      </c>
      <c r="K622" s="39" t="s">
        <v>1547</v>
      </c>
      <c r="L622" s="40"/>
    </row>
    <row r="623" spans="1:12">
      <c r="A623" s="58">
        <v>46152</v>
      </c>
      <c r="B623" s="59">
        <f t="shared" si="11"/>
        <v>20</v>
      </c>
      <c r="C623" s="60"/>
      <c r="D623" s="59"/>
      <c r="E623" s="59"/>
      <c r="F623" s="59"/>
      <c r="G623" s="59"/>
      <c r="H623" s="59"/>
      <c r="I623" s="59"/>
      <c r="J623" s="59"/>
      <c r="K623" s="60"/>
      <c r="L623" s="40"/>
    </row>
    <row r="624" spans="1:12" ht="63.75">
      <c r="A624" s="40">
        <v>46153</v>
      </c>
      <c r="B624" s="38">
        <f t="shared" si="11"/>
        <v>20</v>
      </c>
      <c r="C624" s="39" t="s">
        <v>1524</v>
      </c>
      <c r="D624" s="38" t="s">
        <v>66</v>
      </c>
      <c r="E624" s="38" t="s">
        <v>1260</v>
      </c>
      <c r="F624" s="38" t="s">
        <v>915</v>
      </c>
      <c r="G624" s="38" t="s">
        <v>916</v>
      </c>
      <c r="H624" s="38" t="s">
        <v>30</v>
      </c>
      <c r="I624" s="38" t="s">
        <v>32</v>
      </c>
      <c r="J624" s="38" t="s">
        <v>31</v>
      </c>
      <c r="K624" s="39" t="s">
        <v>1548</v>
      </c>
      <c r="L624" s="40"/>
    </row>
    <row r="625" spans="1:12" ht="76.5">
      <c r="A625" s="40">
        <v>46153</v>
      </c>
      <c r="B625" s="38">
        <f t="shared" si="11"/>
        <v>20</v>
      </c>
      <c r="D625" s="38" t="s">
        <v>628</v>
      </c>
      <c r="E625" s="38" t="s">
        <v>1263</v>
      </c>
      <c r="F625" s="38" t="s">
        <v>915</v>
      </c>
      <c r="G625" s="38" t="s">
        <v>916</v>
      </c>
      <c r="H625" s="38" t="s">
        <v>30</v>
      </c>
      <c r="I625" s="38" t="s">
        <v>225</v>
      </c>
      <c r="J625" s="38" t="s">
        <v>34</v>
      </c>
      <c r="K625" s="39" t="s">
        <v>1549</v>
      </c>
      <c r="L625" s="40"/>
    </row>
    <row r="626" spans="1:12" ht="63.75">
      <c r="A626" s="40">
        <v>46153</v>
      </c>
      <c r="B626" s="38">
        <f t="shared" si="11"/>
        <v>20</v>
      </c>
      <c r="C626" s="39" t="s">
        <v>1533</v>
      </c>
      <c r="D626" s="38" t="s">
        <v>249</v>
      </c>
      <c r="E626" s="38" t="s">
        <v>1263</v>
      </c>
      <c r="F626" s="38" t="s">
        <v>915</v>
      </c>
      <c r="G626" s="38" t="s">
        <v>916</v>
      </c>
      <c r="K626" s="39" t="s">
        <v>1550</v>
      </c>
      <c r="L626" s="40"/>
    </row>
    <row r="627" spans="1:12">
      <c r="A627" s="40">
        <v>46153</v>
      </c>
      <c r="B627" s="38">
        <f t="shared" si="11"/>
        <v>20</v>
      </c>
      <c r="C627" s="39" t="s">
        <v>1524</v>
      </c>
      <c r="D627" s="38" t="s">
        <v>66</v>
      </c>
      <c r="E627" s="38" t="s">
        <v>1296</v>
      </c>
      <c r="F627" s="38" t="s">
        <v>947</v>
      </c>
      <c r="G627" s="38" t="s">
        <v>916</v>
      </c>
      <c r="H627" s="38" t="s">
        <v>30</v>
      </c>
      <c r="I627" s="38" t="s">
        <v>35</v>
      </c>
      <c r="J627" s="38" t="s">
        <v>34</v>
      </c>
      <c r="L627" s="40"/>
    </row>
    <row r="628" spans="1:12" ht="38.25">
      <c r="A628" s="40">
        <v>46153</v>
      </c>
      <c r="B628" s="38">
        <f t="shared" si="11"/>
        <v>20</v>
      </c>
      <c r="E628" s="38" t="s">
        <v>1284</v>
      </c>
      <c r="F628" s="38" t="s">
        <v>961</v>
      </c>
      <c r="K628" s="39" t="s">
        <v>1551</v>
      </c>
      <c r="L628" s="40"/>
    </row>
    <row r="629" spans="1:12" ht="38.25">
      <c r="A629" s="40">
        <v>46153</v>
      </c>
      <c r="B629" s="38">
        <f t="shared" si="11"/>
        <v>20</v>
      </c>
      <c r="E629" s="38" t="s">
        <v>1266</v>
      </c>
      <c r="F629" s="38" t="s">
        <v>961</v>
      </c>
      <c r="K629" s="39" t="s">
        <v>1551</v>
      </c>
      <c r="L629" s="40"/>
    </row>
    <row r="630" spans="1:12" ht="38.25">
      <c r="A630" s="40">
        <v>46153</v>
      </c>
      <c r="B630" s="38">
        <f t="shared" si="11"/>
        <v>20</v>
      </c>
      <c r="E630" s="38" t="s">
        <v>1278</v>
      </c>
      <c r="F630" s="38" t="s">
        <v>961</v>
      </c>
      <c r="K630" s="39" t="s">
        <v>1551</v>
      </c>
      <c r="L630" s="40"/>
    </row>
    <row r="631" spans="1:12">
      <c r="A631" s="40">
        <v>46153</v>
      </c>
      <c r="B631" s="38">
        <f t="shared" si="11"/>
        <v>20</v>
      </c>
      <c r="C631" s="39" t="s">
        <v>1537</v>
      </c>
      <c r="D631" s="38" t="s">
        <v>631</v>
      </c>
      <c r="E631" s="38" t="s">
        <v>1280</v>
      </c>
      <c r="F631" s="38" t="s">
        <v>915</v>
      </c>
      <c r="G631" s="38" t="s">
        <v>916</v>
      </c>
      <c r="H631" s="38" t="s">
        <v>30</v>
      </c>
      <c r="I631" s="38" t="s">
        <v>225</v>
      </c>
      <c r="J631" s="38" t="s">
        <v>40</v>
      </c>
      <c r="K631" s="39" t="s">
        <v>1552</v>
      </c>
      <c r="L631" s="40"/>
    </row>
    <row r="632" spans="1:12">
      <c r="A632" s="40">
        <v>46153</v>
      </c>
      <c r="B632" s="38">
        <f t="shared" si="11"/>
        <v>20</v>
      </c>
      <c r="C632" s="39" t="s">
        <v>1499</v>
      </c>
      <c r="D632" s="38" t="s">
        <v>582</v>
      </c>
      <c r="E632" s="38" t="s">
        <v>1280</v>
      </c>
      <c r="F632" s="38" t="s">
        <v>915</v>
      </c>
      <c r="G632" s="38" t="s">
        <v>916</v>
      </c>
      <c r="H632" s="38" t="s">
        <v>30</v>
      </c>
      <c r="I632" s="38" t="s">
        <v>35</v>
      </c>
      <c r="J632" s="38" t="s">
        <v>31</v>
      </c>
      <c r="K632" s="39" t="s">
        <v>1553</v>
      </c>
      <c r="L632" s="40"/>
    </row>
    <row r="633" spans="1:12" ht="25.5">
      <c r="A633" s="40">
        <v>46153</v>
      </c>
      <c r="B633" s="38">
        <f t="shared" si="11"/>
        <v>20</v>
      </c>
      <c r="C633" s="39" t="s">
        <v>1537</v>
      </c>
      <c r="D633" s="38" t="s">
        <v>543</v>
      </c>
      <c r="E633" s="38" t="s">
        <v>1269</v>
      </c>
      <c r="F633" s="38" t="s">
        <v>915</v>
      </c>
      <c r="G633" s="38" t="s">
        <v>916</v>
      </c>
      <c r="H633" s="38" t="s">
        <v>30</v>
      </c>
      <c r="I633" s="38" t="s">
        <v>32</v>
      </c>
      <c r="J633" s="38" t="s">
        <v>31</v>
      </c>
      <c r="K633" s="39" t="s">
        <v>1554</v>
      </c>
      <c r="L633" s="40"/>
    </row>
    <row r="634" spans="1:12" ht="76.5">
      <c r="A634" s="40">
        <v>46153</v>
      </c>
      <c r="B634" s="38">
        <f t="shared" si="11"/>
        <v>20</v>
      </c>
      <c r="C634" s="39" t="s">
        <v>1537</v>
      </c>
      <c r="D634" s="38" t="s">
        <v>646</v>
      </c>
      <c r="E634" s="38" t="s">
        <v>1488</v>
      </c>
      <c r="F634" s="38" t="s">
        <v>915</v>
      </c>
      <c r="G634" s="38" t="s">
        <v>916</v>
      </c>
      <c r="H634" s="38" t="s">
        <v>30</v>
      </c>
      <c r="I634" s="38" t="s">
        <v>41</v>
      </c>
      <c r="J634" s="38" t="s">
        <v>40</v>
      </c>
      <c r="K634" s="39" t="s">
        <v>1555</v>
      </c>
      <c r="L634" s="40"/>
    </row>
    <row r="635" spans="1:12">
      <c r="A635" s="58">
        <v>46154</v>
      </c>
      <c r="B635" s="59">
        <f t="shared" si="11"/>
        <v>20</v>
      </c>
      <c r="C635" s="60"/>
      <c r="D635" s="59"/>
      <c r="E635" s="59"/>
      <c r="F635" s="59"/>
      <c r="G635" s="59"/>
      <c r="H635" s="59"/>
      <c r="I635" s="59"/>
      <c r="J635" s="59"/>
      <c r="K635" s="60"/>
      <c r="L635" s="58"/>
    </row>
    <row r="636" spans="1:12" ht="25.5">
      <c r="A636" s="40">
        <v>46154</v>
      </c>
      <c r="B636" s="38">
        <f t="shared" si="11"/>
        <v>20</v>
      </c>
      <c r="C636" s="39" t="s">
        <v>1537</v>
      </c>
      <c r="D636" s="38" t="s">
        <v>646</v>
      </c>
      <c r="E636" s="38" t="s">
        <v>1260</v>
      </c>
      <c r="F636" s="38" t="s">
        <v>915</v>
      </c>
      <c r="G636" s="38" t="s">
        <v>916</v>
      </c>
      <c r="K636" s="39" t="s">
        <v>1556</v>
      </c>
      <c r="L636" s="40"/>
    </row>
    <row r="637" spans="1:12" ht="25.5">
      <c r="A637" s="40">
        <v>46154</v>
      </c>
      <c r="B637" s="38">
        <f t="shared" si="11"/>
        <v>20</v>
      </c>
      <c r="C637" s="39" t="s">
        <v>1537</v>
      </c>
      <c r="D637" s="38" t="s">
        <v>631</v>
      </c>
      <c r="E637" s="38" t="s">
        <v>1263</v>
      </c>
      <c r="F637" s="38" t="s">
        <v>915</v>
      </c>
      <c r="G637" s="38" t="s">
        <v>916</v>
      </c>
      <c r="K637" s="39" t="s">
        <v>1557</v>
      </c>
      <c r="L637" s="40"/>
    </row>
    <row r="638" spans="1:12" ht="38.25">
      <c r="A638" s="40">
        <v>46154</v>
      </c>
      <c r="B638" s="38">
        <f t="shared" si="11"/>
        <v>20</v>
      </c>
      <c r="C638" s="39" t="s">
        <v>1537</v>
      </c>
      <c r="D638" s="38" t="s">
        <v>238</v>
      </c>
      <c r="E638" s="38" t="s">
        <v>1263</v>
      </c>
      <c r="F638" s="38" t="s">
        <v>915</v>
      </c>
      <c r="G638" s="38" t="s">
        <v>916</v>
      </c>
      <c r="K638" s="39" t="s">
        <v>1558</v>
      </c>
      <c r="L638" s="40"/>
    </row>
    <row r="639" spans="1:12" ht="25.5">
      <c r="A639" s="40">
        <v>46154</v>
      </c>
      <c r="B639" s="38">
        <f t="shared" si="11"/>
        <v>20</v>
      </c>
      <c r="C639" s="39" t="s">
        <v>1524</v>
      </c>
      <c r="D639" s="38" t="s">
        <v>66</v>
      </c>
      <c r="E639" s="38" t="s">
        <v>1296</v>
      </c>
      <c r="F639" s="38" t="s">
        <v>915</v>
      </c>
      <c r="G639" s="38" t="s">
        <v>916</v>
      </c>
      <c r="K639" s="39" t="s">
        <v>1559</v>
      </c>
      <c r="L639" s="40"/>
    </row>
    <row r="640" spans="1:12" ht="25.5">
      <c r="A640" s="40">
        <v>46154</v>
      </c>
      <c r="B640" s="38">
        <f t="shared" si="11"/>
        <v>20</v>
      </c>
      <c r="C640" s="39" t="s">
        <v>1560</v>
      </c>
      <c r="D640" s="38" t="s">
        <v>70</v>
      </c>
      <c r="E640" s="38" t="s">
        <v>1284</v>
      </c>
      <c r="F640" s="38" t="s">
        <v>915</v>
      </c>
      <c r="G640" s="38" t="s">
        <v>916</v>
      </c>
      <c r="K640" s="39" t="s">
        <v>1561</v>
      </c>
      <c r="L640" s="40"/>
    </row>
    <row r="641" spans="1:12" ht="63.75">
      <c r="A641" s="40">
        <v>46154</v>
      </c>
      <c r="B641" s="38">
        <f t="shared" si="11"/>
        <v>20</v>
      </c>
      <c r="C641" s="39" t="s">
        <v>1493</v>
      </c>
      <c r="D641" s="38" t="s">
        <v>232</v>
      </c>
      <c r="E641" s="38" t="s">
        <v>1284</v>
      </c>
      <c r="F641" s="38" t="s">
        <v>915</v>
      </c>
      <c r="G641" s="38" t="s">
        <v>916</v>
      </c>
      <c r="K641" s="39" t="s">
        <v>1562</v>
      </c>
      <c r="L641" s="40"/>
    </row>
    <row r="642" spans="1:12" ht="25.5">
      <c r="A642" s="40">
        <v>46154</v>
      </c>
      <c r="B642" s="38">
        <f t="shared" si="11"/>
        <v>20</v>
      </c>
      <c r="C642" s="39" t="s">
        <v>1537</v>
      </c>
      <c r="D642" s="38" t="s">
        <v>543</v>
      </c>
      <c r="E642" s="38" t="s">
        <v>1266</v>
      </c>
      <c r="F642" s="38" t="s">
        <v>915</v>
      </c>
      <c r="G642" s="38" t="s">
        <v>916</v>
      </c>
      <c r="K642" s="39" t="s">
        <v>1563</v>
      </c>
      <c r="L642" s="40"/>
    </row>
    <row r="643" spans="1:12" ht="38.25">
      <c r="A643" s="40">
        <v>46154</v>
      </c>
      <c r="B643" s="38">
        <f t="shared" si="11"/>
        <v>20</v>
      </c>
      <c r="E643" s="38" t="s">
        <v>1278</v>
      </c>
      <c r="F643" s="38" t="s">
        <v>961</v>
      </c>
      <c r="K643" s="39" t="s">
        <v>1564</v>
      </c>
      <c r="L643" s="40"/>
    </row>
    <row r="644" spans="1:12" ht="38.25">
      <c r="A644" s="40">
        <v>46154</v>
      </c>
      <c r="B644" s="38">
        <f t="shared" si="11"/>
        <v>20</v>
      </c>
      <c r="E644" s="38" t="s">
        <v>1280</v>
      </c>
      <c r="F644" s="38" t="s">
        <v>961</v>
      </c>
      <c r="K644" s="39" t="s">
        <v>1564</v>
      </c>
      <c r="L644" s="40"/>
    </row>
    <row r="645" spans="1:12" ht="38.25">
      <c r="A645" s="40">
        <v>46154</v>
      </c>
      <c r="B645" s="38">
        <f t="shared" si="11"/>
        <v>20</v>
      </c>
      <c r="E645" s="38" t="s">
        <v>1269</v>
      </c>
      <c r="F645" s="38" t="s">
        <v>961</v>
      </c>
      <c r="K645" s="39" t="s">
        <v>1565</v>
      </c>
      <c r="L645" s="40"/>
    </row>
    <row r="646" spans="1:12">
      <c r="A646" s="58">
        <v>46154</v>
      </c>
      <c r="B646" s="59">
        <f t="shared" si="11"/>
        <v>20</v>
      </c>
      <c r="C646" s="60"/>
      <c r="D646" s="59"/>
      <c r="E646" s="59"/>
      <c r="F646" s="59"/>
      <c r="G646" s="59"/>
      <c r="H646" s="59"/>
      <c r="I646" s="59"/>
      <c r="J646" s="59"/>
      <c r="K646" s="60"/>
      <c r="L646" s="58"/>
    </row>
    <row r="647" spans="1:12" ht="51">
      <c r="A647" s="40">
        <v>46155</v>
      </c>
      <c r="B647" s="38">
        <f t="shared" si="11"/>
        <v>20</v>
      </c>
      <c r="C647" s="39" t="s">
        <v>1537</v>
      </c>
      <c r="D647" s="38" t="s">
        <v>238</v>
      </c>
      <c r="E647" s="38" t="s">
        <v>1260</v>
      </c>
      <c r="F647" s="38" t="s">
        <v>915</v>
      </c>
      <c r="G647" s="38" t="s">
        <v>916</v>
      </c>
      <c r="H647" s="38" t="s">
        <v>30</v>
      </c>
      <c r="I647" s="38" t="s">
        <v>32</v>
      </c>
      <c r="J647" s="38" t="s">
        <v>31</v>
      </c>
      <c r="K647" s="39" t="s">
        <v>1566</v>
      </c>
      <c r="L647" s="40"/>
    </row>
    <row r="648" spans="1:12" ht="38.25">
      <c r="A648" s="40">
        <v>46155</v>
      </c>
      <c r="B648" s="38">
        <f t="shared" si="11"/>
        <v>20</v>
      </c>
      <c r="C648" s="39" t="s">
        <v>1526</v>
      </c>
      <c r="D648" s="38" t="s">
        <v>206</v>
      </c>
      <c r="E648" s="38" t="s">
        <v>1260</v>
      </c>
      <c r="F648" s="38" t="s">
        <v>915</v>
      </c>
      <c r="G648" s="38" t="s">
        <v>916</v>
      </c>
      <c r="H648" s="38" t="s">
        <v>33</v>
      </c>
      <c r="I648" s="38" t="s">
        <v>35</v>
      </c>
      <c r="J648" s="38" t="s">
        <v>31</v>
      </c>
      <c r="K648" s="39" t="s">
        <v>1567</v>
      </c>
      <c r="L648" s="40"/>
    </row>
    <row r="649" spans="1:12" ht="25.5">
      <c r="A649" s="40">
        <v>46155</v>
      </c>
      <c r="B649" s="38">
        <f t="shared" si="11"/>
        <v>20</v>
      </c>
      <c r="C649" s="39" t="s">
        <v>1568</v>
      </c>
      <c r="D649" s="38" t="s">
        <v>72</v>
      </c>
      <c r="E649" s="38" t="s">
        <v>1263</v>
      </c>
      <c r="F649" s="38" t="s">
        <v>915</v>
      </c>
      <c r="G649" s="38" t="s">
        <v>916</v>
      </c>
      <c r="H649" s="38" t="s">
        <v>30</v>
      </c>
      <c r="I649" s="38" t="s">
        <v>225</v>
      </c>
      <c r="K649" s="39" t="s">
        <v>1569</v>
      </c>
      <c r="L649" s="40"/>
    </row>
    <row r="650" spans="1:12" ht="25.5">
      <c r="A650" s="40">
        <v>46155</v>
      </c>
      <c r="B650" s="38">
        <f t="shared" si="11"/>
        <v>20</v>
      </c>
      <c r="C650" s="39" t="s">
        <v>1499</v>
      </c>
      <c r="D650" s="38" t="s">
        <v>76</v>
      </c>
      <c r="E650" s="38" t="s">
        <v>1263</v>
      </c>
      <c r="F650" s="38" t="s">
        <v>915</v>
      </c>
      <c r="G650" s="38" t="s">
        <v>916</v>
      </c>
      <c r="H650" s="38" t="s">
        <v>30</v>
      </c>
      <c r="I650" s="38" t="s">
        <v>225</v>
      </c>
      <c r="J650" s="38" t="s">
        <v>31</v>
      </c>
      <c r="K650" s="39" t="s">
        <v>1570</v>
      </c>
      <c r="L650" s="40"/>
    </row>
    <row r="651" spans="1:12" ht="25.5">
      <c r="A651" s="40">
        <v>46155</v>
      </c>
      <c r="B651" s="38">
        <f t="shared" si="11"/>
        <v>20</v>
      </c>
      <c r="C651" s="39" t="s">
        <v>1571</v>
      </c>
      <c r="D651" s="38" t="s">
        <v>635</v>
      </c>
      <c r="E651" s="38" t="s">
        <v>1296</v>
      </c>
      <c r="F651" s="38" t="s">
        <v>915</v>
      </c>
      <c r="G651" s="38" t="s">
        <v>916</v>
      </c>
      <c r="H651" s="38" t="s">
        <v>30</v>
      </c>
      <c r="I651" s="38" t="s">
        <v>32</v>
      </c>
      <c r="J651" s="38" t="s">
        <v>1418</v>
      </c>
      <c r="K651" s="39" t="s">
        <v>1572</v>
      </c>
      <c r="L651" s="40"/>
    </row>
    <row r="652" spans="1:12" ht="134.25" customHeight="1">
      <c r="A652" s="40">
        <v>46155</v>
      </c>
      <c r="B652" s="38">
        <f t="shared" si="11"/>
        <v>20</v>
      </c>
      <c r="C652" s="39" t="s">
        <v>1499</v>
      </c>
      <c r="D652" s="38" t="s">
        <v>582</v>
      </c>
      <c r="E652" s="38" t="s">
        <v>1266</v>
      </c>
      <c r="F652" s="38" t="s">
        <v>926</v>
      </c>
      <c r="G652" s="38" t="s">
        <v>916</v>
      </c>
      <c r="H652" s="38" t="s">
        <v>30</v>
      </c>
      <c r="I652" s="38" t="s">
        <v>35</v>
      </c>
      <c r="J652" s="38" t="s">
        <v>31</v>
      </c>
      <c r="K652" s="39" t="s">
        <v>1573</v>
      </c>
      <c r="L652" s="40"/>
    </row>
    <row r="653" spans="1:12" ht="153">
      <c r="A653" s="40">
        <v>46155</v>
      </c>
      <c r="B653" s="38">
        <f t="shared" si="11"/>
        <v>20</v>
      </c>
      <c r="C653" s="39" t="s">
        <v>1499</v>
      </c>
      <c r="D653" s="38" t="s">
        <v>582</v>
      </c>
      <c r="E653" s="38" t="s">
        <v>1278</v>
      </c>
      <c r="F653" s="38" t="s">
        <v>926</v>
      </c>
      <c r="G653" s="38" t="s">
        <v>916</v>
      </c>
      <c r="H653" s="38" t="s">
        <v>30</v>
      </c>
      <c r="I653" s="38" t="s">
        <v>35</v>
      </c>
      <c r="J653" s="38" t="s">
        <v>31</v>
      </c>
      <c r="K653" s="39" t="s">
        <v>1573</v>
      </c>
      <c r="L653" s="40"/>
    </row>
    <row r="654" spans="1:12">
      <c r="A654" s="40">
        <v>46155</v>
      </c>
      <c r="B654" s="38">
        <f t="shared" si="11"/>
        <v>20</v>
      </c>
      <c r="E654" s="38" t="s">
        <v>1280</v>
      </c>
      <c r="F654" s="38" t="s">
        <v>990</v>
      </c>
      <c r="J654" s="38" t="s">
        <v>31</v>
      </c>
      <c r="K654" s="39" t="s">
        <v>1574</v>
      </c>
      <c r="L654" s="40"/>
    </row>
    <row r="655" spans="1:12">
      <c r="A655" s="40">
        <v>46155</v>
      </c>
      <c r="B655" s="38">
        <f t="shared" si="11"/>
        <v>20</v>
      </c>
      <c r="E655" s="38" t="s">
        <v>1269</v>
      </c>
      <c r="F655" s="38" t="s">
        <v>990</v>
      </c>
      <c r="J655" s="38" t="s">
        <v>31</v>
      </c>
      <c r="K655" s="39" t="s">
        <v>1574</v>
      </c>
      <c r="L655" s="40"/>
    </row>
    <row r="656" spans="1:12">
      <c r="A656" s="58"/>
      <c r="B656" s="59">
        <f t="shared" si="11"/>
        <v>0</v>
      </c>
      <c r="C656" s="60"/>
      <c r="D656" s="59"/>
      <c r="E656" s="59"/>
      <c r="F656" s="59"/>
      <c r="G656" s="59"/>
      <c r="H656" s="59"/>
      <c r="I656" s="59"/>
      <c r="J656" s="59"/>
      <c r="K656" s="60"/>
      <c r="L656" s="58"/>
    </row>
    <row r="657" spans="1:12" ht="51">
      <c r="A657" s="40">
        <v>46158</v>
      </c>
      <c r="B657" s="38">
        <f t="shared" si="11"/>
        <v>20</v>
      </c>
      <c r="C657" s="39" t="s">
        <v>1537</v>
      </c>
      <c r="D657" s="38" t="s">
        <v>238</v>
      </c>
      <c r="E657" s="38" t="s">
        <v>1260</v>
      </c>
      <c r="F657" s="38" t="s">
        <v>915</v>
      </c>
      <c r="G657" s="38" t="s">
        <v>916</v>
      </c>
      <c r="H657" s="38" t="s">
        <v>30</v>
      </c>
      <c r="I657" s="38" t="s">
        <v>32</v>
      </c>
      <c r="J657" s="38" t="s">
        <v>31</v>
      </c>
      <c r="K657" s="39" t="s">
        <v>1575</v>
      </c>
      <c r="L657" s="40"/>
    </row>
    <row r="658" spans="1:12" ht="63.75">
      <c r="A658" s="40">
        <v>46158</v>
      </c>
      <c r="B658" s="38">
        <f t="shared" si="11"/>
        <v>20</v>
      </c>
      <c r="E658" s="38" t="s">
        <v>1263</v>
      </c>
      <c r="F658" s="38" t="s">
        <v>961</v>
      </c>
      <c r="K658" s="39" t="s">
        <v>1576</v>
      </c>
      <c r="L658" s="40"/>
    </row>
    <row r="659" spans="1:12">
      <c r="A659" s="40">
        <v>46158</v>
      </c>
      <c r="B659" s="38">
        <f t="shared" si="11"/>
        <v>20</v>
      </c>
      <c r="E659" s="38" t="s">
        <v>1296</v>
      </c>
      <c r="F659" s="38" t="s">
        <v>961</v>
      </c>
      <c r="L659" s="40"/>
    </row>
    <row r="660" spans="1:12" ht="114.75">
      <c r="A660" s="40">
        <v>46158</v>
      </c>
      <c r="B660" s="38">
        <f t="shared" si="11"/>
        <v>20</v>
      </c>
      <c r="C660" s="39" t="s">
        <v>1537</v>
      </c>
      <c r="D660" s="38" t="s">
        <v>238</v>
      </c>
      <c r="E660" s="38" t="s">
        <v>1266</v>
      </c>
      <c r="F660" s="38" t="s">
        <v>926</v>
      </c>
      <c r="G660" s="38" t="s">
        <v>916</v>
      </c>
      <c r="H660" s="38" t="s">
        <v>30</v>
      </c>
      <c r="I660" s="38" t="s">
        <v>32</v>
      </c>
      <c r="J660" s="38" t="s">
        <v>31</v>
      </c>
      <c r="K660" s="39" t="s">
        <v>1577</v>
      </c>
      <c r="L660" s="40"/>
    </row>
    <row r="661" spans="1:12">
      <c r="A661" s="40">
        <v>46158</v>
      </c>
      <c r="B661" s="38">
        <f t="shared" si="11"/>
        <v>20</v>
      </c>
      <c r="E661" s="38" t="s">
        <v>1278</v>
      </c>
      <c r="F661" s="38" t="s">
        <v>926</v>
      </c>
      <c r="L661" s="40"/>
    </row>
    <row r="662" spans="1:12">
      <c r="A662" s="40">
        <v>46158</v>
      </c>
      <c r="B662" s="38">
        <f t="shared" si="11"/>
        <v>20</v>
      </c>
      <c r="E662" s="38" t="s">
        <v>1280</v>
      </c>
      <c r="F662" s="38" t="s">
        <v>926</v>
      </c>
      <c r="L662" s="40"/>
    </row>
    <row r="663" spans="1:12">
      <c r="A663" s="40">
        <v>46158</v>
      </c>
      <c r="B663" s="38">
        <f t="shared" si="11"/>
        <v>20</v>
      </c>
      <c r="E663" s="38" t="s">
        <v>1269</v>
      </c>
      <c r="F663" s="38" t="s">
        <v>926</v>
      </c>
      <c r="L663" s="40"/>
    </row>
    <row r="664" spans="1:12" ht="24.75" customHeight="1">
      <c r="A664" s="40"/>
      <c r="B664" s="38">
        <f t="shared" si="11"/>
        <v>0</v>
      </c>
      <c r="C664" s="39" t="s">
        <v>653</v>
      </c>
      <c r="E664" s="38" t="s">
        <v>1488</v>
      </c>
      <c r="F664" s="38" t="s">
        <v>926</v>
      </c>
      <c r="L664" s="40"/>
    </row>
    <row r="665" spans="1:12">
      <c r="A665" s="58"/>
      <c r="B665" s="59">
        <f t="shared" si="11"/>
        <v>0</v>
      </c>
      <c r="C665" s="60"/>
      <c r="D665" s="59"/>
      <c r="E665" s="59"/>
      <c r="F665" s="59"/>
      <c r="G665" s="59"/>
      <c r="H665" s="59"/>
      <c r="I665" s="59"/>
      <c r="J665" s="59"/>
      <c r="K665" s="60"/>
      <c r="L665" s="58"/>
    </row>
    <row r="666" spans="1:12">
      <c r="A666" s="40">
        <v>46159</v>
      </c>
      <c r="B666" s="38">
        <f t="shared" si="11"/>
        <v>21</v>
      </c>
      <c r="C666" s="39" t="s">
        <v>1537</v>
      </c>
      <c r="D666" s="38" t="s">
        <v>238</v>
      </c>
      <c r="E666" s="38" t="s">
        <v>1260</v>
      </c>
      <c r="F666" s="38" t="s">
        <v>915</v>
      </c>
      <c r="G666" s="38" t="s">
        <v>916</v>
      </c>
      <c r="H666" s="38" t="s">
        <v>30</v>
      </c>
      <c r="I666" s="38" t="s">
        <v>32</v>
      </c>
      <c r="J666" s="38" t="s">
        <v>31</v>
      </c>
      <c r="L666" s="40"/>
    </row>
    <row r="667" spans="1:12" ht="51">
      <c r="A667" s="40">
        <v>46159</v>
      </c>
      <c r="B667" s="38">
        <f t="shared" ref="B667:B730" si="12">WEEKNUM(A667)</f>
        <v>21</v>
      </c>
      <c r="D667" s="38" t="s">
        <v>543</v>
      </c>
      <c r="E667" s="38" t="s">
        <v>1263</v>
      </c>
      <c r="F667" s="38" t="s">
        <v>915</v>
      </c>
      <c r="G667" s="38" t="s">
        <v>916</v>
      </c>
      <c r="H667" s="38" t="s">
        <v>30</v>
      </c>
      <c r="I667" s="38" t="s">
        <v>32</v>
      </c>
      <c r="J667" s="38" t="s">
        <v>31</v>
      </c>
      <c r="K667" s="39" t="s">
        <v>1578</v>
      </c>
      <c r="L667" s="40">
        <v>46160</v>
      </c>
    </row>
    <row r="668" spans="1:12" ht="25.5">
      <c r="A668" s="40">
        <v>46159</v>
      </c>
      <c r="B668" s="38">
        <f t="shared" si="12"/>
        <v>21</v>
      </c>
      <c r="D668" s="38" t="s">
        <v>657</v>
      </c>
      <c r="E668" s="38" t="s">
        <v>1296</v>
      </c>
      <c r="F668" s="38" t="s">
        <v>915</v>
      </c>
      <c r="G668" s="38" t="s">
        <v>1264</v>
      </c>
      <c r="K668" s="39" t="s">
        <v>660</v>
      </c>
      <c r="L668" s="40"/>
    </row>
    <row r="669" spans="1:12">
      <c r="A669" s="40">
        <v>46159</v>
      </c>
      <c r="B669" s="38">
        <f t="shared" si="12"/>
        <v>21</v>
      </c>
      <c r="K669" s="39" t="s">
        <v>1579</v>
      </c>
      <c r="L669" s="40"/>
    </row>
    <row r="670" spans="1:12">
      <c r="A670" s="58">
        <v>46159</v>
      </c>
      <c r="B670" s="59">
        <f t="shared" si="12"/>
        <v>21</v>
      </c>
      <c r="C670" s="60"/>
      <c r="D670" s="59"/>
      <c r="E670" s="59"/>
      <c r="F670" s="59"/>
      <c r="G670" s="59"/>
      <c r="H670" s="59"/>
      <c r="I670" s="59"/>
      <c r="J670" s="59"/>
      <c r="K670" s="60"/>
      <c r="L670" s="40"/>
    </row>
    <row r="671" spans="1:12">
      <c r="A671" s="40">
        <v>46160</v>
      </c>
      <c r="B671" s="38">
        <f t="shared" si="12"/>
        <v>21</v>
      </c>
      <c r="C671" s="39" t="s">
        <v>1537</v>
      </c>
      <c r="D671" s="38" t="s">
        <v>238</v>
      </c>
      <c r="E671" s="38" t="s">
        <v>1260</v>
      </c>
      <c r="F671" s="38" t="s">
        <v>915</v>
      </c>
      <c r="G671" s="38" t="s">
        <v>916</v>
      </c>
      <c r="H671" s="38" t="s">
        <v>30</v>
      </c>
      <c r="I671" s="38" t="s">
        <v>32</v>
      </c>
      <c r="J671" s="38" t="s">
        <v>31</v>
      </c>
      <c r="K671" s="39" t="s">
        <v>916</v>
      </c>
      <c r="L671" s="40"/>
    </row>
    <row r="672" spans="1:12">
      <c r="A672" s="40">
        <v>46160</v>
      </c>
      <c r="B672" s="38">
        <f t="shared" si="12"/>
        <v>21</v>
      </c>
      <c r="C672" s="39" t="s">
        <v>1429</v>
      </c>
      <c r="D672" s="38" t="s">
        <v>66</v>
      </c>
      <c r="E672" s="38" t="s">
        <v>1263</v>
      </c>
      <c r="F672" s="38" t="s">
        <v>915</v>
      </c>
      <c r="G672" s="38" t="s">
        <v>916</v>
      </c>
      <c r="H672" s="38" t="s">
        <v>30</v>
      </c>
      <c r="I672" s="38" t="s">
        <v>32</v>
      </c>
      <c r="J672" s="38" t="s">
        <v>31</v>
      </c>
      <c r="K672" s="39" t="s">
        <v>916</v>
      </c>
      <c r="L672" s="40"/>
    </row>
    <row r="673" spans="1:12">
      <c r="A673" s="40">
        <v>46160</v>
      </c>
      <c r="B673" s="38">
        <f t="shared" si="12"/>
        <v>21</v>
      </c>
      <c r="C673" s="39" t="s">
        <v>1429</v>
      </c>
      <c r="D673" s="38" t="s">
        <v>532</v>
      </c>
      <c r="E673" s="38" t="s">
        <v>1296</v>
      </c>
      <c r="F673" s="38" t="s">
        <v>915</v>
      </c>
      <c r="G673" s="38" t="s">
        <v>916</v>
      </c>
      <c r="H673" s="38" t="s">
        <v>30</v>
      </c>
      <c r="I673" s="38" t="s">
        <v>32</v>
      </c>
      <c r="J673" s="38" t="s">
        <v>31</v>
      </c>
      <c r="K673" s="39" t="s">
        <v>1580</v>
      </c>
      <c r="L673" s="40"/>
    </row>
    <row r="674" spans="1:12">
      <c r="A674" s="40">
        <v>46160</v>
      </c>
      <c r="B674" s="38">
        <f t="shared" si="12"/>
        <v>21</v>
      </c>
      <c r="C674" s="39" t="s">
        <v>1429</v>
      </c>
      <c r="D674" s="38" t="s">
        <v>532</v>
      </c>
      <c r="E674" s="38" t="s">
        <v>1284</v>
      </c>
      <c r="F674" s="38" t="s">
        <v>926</v>
      </c>
      <c r="G674" s="38" t="s">
        <v>916</v>
      </c>
      <c r="H674" s="38" t="s">
        <v>30</v>
      </c>
      <c r="I674" s="38" t="s">
        <v>32</v>
      </c>
      <c r="J674" s="38" t="s">
        <v>31</v>
      </c>
      <c r="K674" s="39" t="s">
        <v>1581</v>
      </c>
      <c r="L674" s="40"/>
    </row>
    <row r="675" spans="1:12">
      <c r="A675" s="40">
        <v>46160</v>
      </c>
      <c r="B675" s="38">
        <f t="shared" si="12"/>
        <v>21</v>
      </c>
      <c r="C675" s="39" t="s">
        <v>1429</v>
      </c>
      <c r="D675" s="38" t="s">
        <v>532</v>
      </c>
      <c r="E675" s="38" t="s">
        <v>1266</v>
      </c>
      <c r="F675" s="38" t="s">
        <v>926</v>
      </c>
      <c r="G675" s="38" t="s">
        <v>916</v>
      </c>
      <c r="H675" s="38" t="s">
        <v>30</v>
      </c>
      <c r="I675" s="38" t="s">
        <v>32</v>
      </c>
      <c r="J675" s="38" t="s">
        <v>31</v>
      </c>
      <c r="K675" s="39" t="s">
        <v>1581</v>
      </c>
      <c r="L675" s="40"/>
    </row>
    <row r="676" spans="1:12" ht="38.25">
      <c r="A676" s="40">
        <v>46160</v>
      </c>
      <c r="B676" s="38">
        <f t="shared" si="12"/>
        <v>21</v>
      </c>
      <c r="C676" s="39" t="s">
        <v>535</v>
      </c>
      <c r="D676" s="38" t="s">
        <v>543</v>
      </c>
      <c r="E676" s="38" t="s">
        <v>1278</v>
      </c>
      <c r="F676" s="38" t="s">
        <v>926</v>
      </c>
      <c r="G676" s="38" t="s">
        <v>916</v>
      </c>
      <c r="J676" s="38" t="s">
        <v>31</v>
      </c>
      <c r="K676" s="39" t="s">
        <v>1582</v>
      </c>
      <c r="L676" s="40"/>
    </row>
    <row r="677" spans="1:12" ht="38.25">
      <c r="A677" s="40">
        <v>46160</v>
      </c>
      <c r="B677" s="38">
        <f t="shared" si="12"/>
        <v>21</v>
      </c>
      <c r="E677" s="38" t="s">
        <v>1280</v>
      </c>
      <c r="F677" s="38" t="s">
        <v>926</v>
      </c>
      <c r="K677" s="39" t="s">
        <v>1582</v>
      </c>
      <c r="L677" s="40"/>
    </row>
    <row r="678" spans="1:12" ht="38.25">
      <c r="A678" s="40">
        <v>46160</v>
      </c>
      <c r="B678" s="38">
        <f t="shared" si="12"/>
        <v>21</v>
      </c>
      <c r="E678" s="38" t="s">
        <v>1269</v>
      </c>
      <c r="F678" s="38" t="s">
        <v>926</v>
      </c>
      <c r="K678" s="39" t="s">
        <v>1582</v>
      </c>
      <c r="L678" s="40"/>
    </row>
    <row r="679" spans="1:12">
      <c r="A679" s="58"/>
      <c r="B679" s="59">
        <f t="shared" si="12"/>
        <v>0</v>
      </c>
      <c r="C679" s="60"/>
      <c r="D679" s="59"/>
      <c r="E679" s="59"/>
      <c r="F679" s="59"/>
      <c r="G679" s="59"/>
      <c r="H679" s="59"/>
      <c r="I679" s="59"/>
      <c r="J679" s="59"/>
      <c r="K679" s="60"/>
      <c r="L679" s="58"/>
    </row>
    <row r="680" spans="1:12">
      <c r="A680" s="40">
        <v>46161</v>
      </c>
      <c r="B680" s="38">
        <f t="shared" si="12"/>
        <v>21</v>
      </c>
      <c r="D680" s="38" t="s">
        <v>238</v>
      </c>
      <c r="E680" s="38" t="s">
        <v>1260</v>
      </c>
      <c r="F680" s="38" t="s">
        <v>915</v>
      </c>
      <c r="K680" s="39" t="s">
        <v>916</v>
      </c>
      <c r="L680" s="40"/>
    </row>
    <row r="681" spans="1:12">
      <c r="A681" s="40">
        <v>46161</v>
      </c>
      <c r="B681" s="38">
        <f t="shared" si="12"/>
        <v>21</v>
      </c>
      <c r="D681" s="38" t="s">
        <v>66</v>
      </c>
      <c r="E681" s="38" t="s">
        <v>1263</v>
      </c>
      <c r="F681" s="38" t="s">
        <v>915</v>
      </c>
      <c r="K681" s="39" t="s">
        <v>916</v>
      </c>
      <c r="L681" s="40"/>
    </row>
    <row r="682" spans="1:12">
      <c r="A682" s="40">
        <v>46161</v>
      </c>
      <c r="B682" s="38">
        <f t="shared" si="12"/>
        <v>21</v>
      </c>
      <c r="D682" s="38" t="s">
        <v>70</v>
      </c>
      <c r="E682" s="38" t="s">
        <v>1263</v>
      </c>
      <c r="F682" s="38" t="s">
        <v>915</v>
      </c>
      <c r="K682" s="39" t="s">
        <v>916</v>
      </c>
      <c r="L682" s="40"/>
    </row>
    <row r="683" spans="1:12">
      <c r="A683" s="40">
        <v>46161</v>
      </c>
      <c r="B683" s="38">
        <f t="shared" si="12"/>
        <v>21</v>
      </c>
      <c r="D683" s="38" t="s">
        <v>232</v>
      </c>
      <c r="E683" s="38" t="s">
        <v>1296</v>
      </c>
      <c r="F683" s="38" t="s">
        <v>915</v>
      </c>
      <c r="K683" s="39" t="s">
        <v>916</v>
      </c>
      <c r="L683" s="40"/>
    </row>
    <row r="684" spans="1:12">
      <c r="A684" s="40">
        <v>46161</v>
      </c>
      <c r="B684" s="38">
        <f t="shared" si="12"/>
        <v>21</v>
      </c>
      <c r="D684" s="38" t="s">
        <v>502</v>
      </c>
      <c r="E684" s="38" t="s">
        <v>1296</v>
      </c>
      <c r="F684" s="38" t="s">
        <v>915</v>
      </c>
      <c r="K684" s="39" t="s">
        <v>916</v>
      </c>
      <c r="L684" s="40"/>
    </row>
    <row r="685" spans="1:12" ht="38.25" customHeight="1">
      <c r="A685" s="40">
        <v>46161</v>
      </c>
      <c r="B685" s="38">
        <f t="shared" si="12"/>
        <v>21</v>
      </c>
      <c r="E685" s="38" t="s">
        <v>1284</v>
      </c>
      <c r="F685" s="38" t="s">
        <v>961</v>
      </c>
      <c r="K685" s="39" t="s">
        <v>1583</v>
      </c>
      <c r="L685" s="40"/>
    </row>
    <row r="686" spans="1:12" ht="89.25" customHeight="1">
      <c r="A686" s="40">
        <v>46161</v>
      </c>
      <c r="B686" s="38">
        <f t="shared" si="12"/>
        <v>21</v>
      </c>
      <c r="E686" s="38" t="s">
        <v>1280</v>
      </c>
      <c r="F686" s="38" t="s">
        <v>990</v>
      </c>
      <c r="K686" s="39" t="s">
        <v>1584</v>
      </c>
      <c r="L686" s="40"/>
    </row>
    <row r="687" spans="1:12" ht="38.25">
      <c r="A687" s="40">
        <v>46161</v>
      </c>
      <c r="B687" s="38">
        <f t="shared" si="12"/>
        <v>21</v>
      </c>
      <c r="F687" s="38" t="s">
        <v>990</v>
      </c>
      <c r="K687" s="39" t="s">
        <v>1585</v>
      </c>
      <c r="L687" s="40"/>
    </row>
    <row r="688" spans="1:12">
      <c r="A688" s="58"/>
      <c r="B688" s="59">
        <f t="shared" si="12"/>
        <v>0</v>
      </c>
      <c r="C688" s="60"/>
      <c r="D688" s="59"/>
      <c r="E688" s="59"/>
      <c r="F688" s="59"/>
      <c r="G688" s="59"/>
      <c r="H688" s="59"/>
      <c r="I688" s="59"/>
      <c r="J688" s="59"/>
      <c r="K688" s="60"/>
      <c r="L688" s="58"/>
    </row>
    <row r="689" spans="1:12" ht="25.5">
      <c r="A689" s="40">
        <v>46162</v>
      </c>
      <c r="B689" s="38">
        <f t="shared" si="12"/>
        <v>21</v>
      </c>
      <c r="C689" s="39" t="s">
        <v>1537</v>
      </c>
      <c r="D689" s="38" t="s">
        <v>667</v>
      </c>
      <c r="E689" s="38" t="s">
        <v>1260</v>
      </c>
      <c r="F689" s="38" t="s">
        <v>915</v>
      </c>
      <c r="G689" s="38" t="s">
        <v>916</v>
      </c>
      <c r="H689" s="38" t="s">
        <v>30</v>
      </c>
      <c r="I689" s="38" t="s">
        <v>32</v>
      </c>
      <c r="J689" s="38" t="s">
        <v>31</v>
      </c>
      <c r="K689" s="39" t="s">
        <v>1586</v>
      </c>
      <c r="L689" s="40"/>
    </row>
    <row r="690" spans="1:12" ht="38.25">
      <c r="A690" s="40">
        <v>46162</v>
      </c>
      <c r="B690" s="38">
        <f t="shared" si="12"/>
        <v>21</v>
      </c>
      <c r="C690" s="39" t="s">
        <v>1587</v>
      </c>
      <c r="D690" s="38" t="s">
        <v>670</v>
      </c>
      <c r="E690" s="38" t="s">
        <v>1263</v>
      </c>
      <c r="F690" s="38" t="s">
        <v>915</v>
      </c>
      <c r="G690" s="38" t="s">
        <v>991</v>
      </c>
      <c r="H690" s="38" t="s">
        <v>30</v>
      </c>
      <c r="I690" s="38" t="s">
        <v>35</v>
      </c>
      <c r="J690" s="38" t="s">
        <v>42</v>
      </c>
      <c r="K690" s="39" t="s">
        <v>1588</v>
      </c>
      <c r="L690" s="40"/>
    </row>
    <row r="691" spans="1:12" ht="38.25">
      <c r="A691" s="40">
        <v>46162</v>
      </c>
      <c r="B691" s="38">
        <f t="shared" si="12"/>
        <v>21</v>
      </c>
      <c r="C691" s="39" t="s">
        <v>1537</v>
      </c>
      <c r="D691" s="38" t="s">
        <v>631</v>
      </c>
      <c r="E691" s="38" t="s">
        <v>1263</v>
      </c>
      <c r="F691" s="38" t="s">
        <v>915</v>
      </c>
      <c r="G691" s="38" t="s">
        <v>916</v>
      </c>
      <c r="H691" s="38" t="s">
        <v>30</v>
      </c>
      <c r="I691" s="38" t="s">
        <v>35</v>
      </c>
      <c r="J691" s="38" t="s">
        <v>31</v>
      </c>
      <c r="K691" s="39" t="s">
        <v>1589</v>
      </c>
      <c r="L691" s="40"/>
    </row>
    <row r="692" spans="1:12" ht="153">
      <c r="A692" s="40">
        <v>46162</v>
      </c>
      <c r="B692" s="38">
        <f t="shared" si="12"/>
        <v>21</v>
      </c>
      <c r="C692" s="39" t="s">
        <v>1590</v>
      </c>
      <c r="D692" s="38" t="s">
        <v>664</v>
      </c>
      <c r="E692" s="38" t="s">
        <v>1266</v>
      </c>
      <c r="F692" s="38" t="s">
        <v>926</v>
      </c>
      <c r="G692" s="38" t="s">
        <v>916</v>
      </c>
      <c r="H692" s="38" t="s">
        <v>30</v>
      </c>
      <c r="I692" s="38" t="s">
        <v>225</v>
      </c>
      <c r="J692" s="38" t="s">
        <v>34</v>
      </c>
      <c r="K692" s="39" t="s">
        <v>666</v>
      </c>
      <c r="L692" s="40"/>
    </row>
    <row r="693" spans="1:12" ht="25.5">
      <c r="A693" s="40">
        <v>46162</v>
      </c>
      <c r="B693" s="38">
        <f t="shared" si="12"/>
        <v>21</v>
      </c>
      <c r="C693" s="39" t="s">
        <v>1429</v>
      </c>
      <c r="D693" s="38" t="s">
        <v>66</v>
      </c>
      <c r="E693" s="38" t="s">
        <v>1280</v>
      </c>
      <c r="F693" s="38" t="s">
        <v>915</v>
      </c>
      <c r="G693" s="38" t="s">
        <v>916</v>
      </c>
      <c r="H693" s="38" t="s">
        <v>30</v>
      </c>
      <c r="I693" s="38" t="s">
        <v>32</v>
      </c>
      <c r="J693" s="38" t="s">
        <v>31</v>
      </c>
      <c r="K693" s="39" t="s">
        <v>1591</v>
      </c>
      <c r="L693" s="40"/>
    </row>
    <row r="694" spans="1:12" ht="25.5">
      <c r="A694" s="40">
        <v>46162</v>
      </c>
      <c r="B694" s="38">
        <f t="shared" si="12"/>
        <v>21</v>
      </c>
      <c r="C694" s="39" t="s">
        <v>1537</v>
      </c>
      <c r="D694" s="38" t="s">
        <v>238</v>
      </c>
      <c r="E694" s="38" t="s">
        <v>1269</v>
      </c>
      <c r="F694" s="38" t="s">
        <v>915</v>
      </c>
      <c r="G694" s="38" t="s">
        <v>916</v>
      </c>
      <c r="H694" s="38" t="s">
        <v>30</v>
      </c>
      <c r="I694" s="38" t="s">
        <v>32</v>
      </c>
      <c r="J694" s="38" t="s">
        <v>31</v>
      </c>
      <c r="K694" s="39" t="s">
        <v>1592</v>
      </c>
      <c r="L694" s="40"/>
    </row>
    <row r="695" spans="1:12">
      <c r="A695" s="40">
        <v>46162</v>
      </c>
      <c r="B695" s="38">
        <f t="shared" si="12"/>
        <v>21</v>
      </c>
      <c r="E695" s="38" t="s">
        <v>1266</v>
      </c>
      <c r="F695" s="38" t="s">
        <v>990</v>
      </c>
      <c r="J695" s="38" t="s">
        <v>34</v>
      </c>
      <c r="K695" s="39" t="s">
        <v>1593</v>
      </c>
      <c r="L695" s="40"/>
    </row>
    <row r="696" spans="1:12">
      <c r="A696" s="40"/>
      <c r="B696" s="38">
        <f t="shared" si="12"/>
        <v>0</v>
      </c>
      <c r="E696" s="38" t="s">
        <v>1269</v>
      </c>
      <c r="F696" s="38" t="s">
        <v>990</v>
      </c>
      <c r="J696" s="38" t="s">
        <v>34</v>
      </c>
      <c r="K696" s="39" t="s">
        <v>1594</v>
      </c>
      <c r="L696" s="40"/>
    </row>
    <row r="697" spans="1:12">
      <c r="A697" s="58"/>
      <c r="B697" s="59">
        <f t="shared" si="12"/>
        <v>0</v>
      </c>
      <c r="C697" s="60"/>
      <c r="D697" s="59"/>
      <c r="E697" s="59"/>
      <c r="F697" s="59"/>
      <c r="G697" s="59"/>
      <c r="H697" s="59"/>
      <c r="I697" s="59"/>
      <c r="J697" s="59"/>
      <c r="K697" s="60"/>
      <c r="L697" s="58"/>
    </row>
    <row r="698" spans="1:12" ht="25.5">
      <c r="A698" s="40">
        <v>46176</v>
      </c>
      <c r="B698" s="38">
        <f t="shared" si="12"/>
        <v>23</v>
      </c>
      <c r="C698" s="39" t="s">
        <v>1595</v>
      </c>
      <c r="D698" s="38" t="s">
        <v>274</v>
      </c>
      <c r="E698" s="38" t="s">
        <v>1278</v>
      </c>
      <c r="F698" s="38" t="s">
        <v>915</v>
      </c>
      <c r="G698" s="38" t="s">
        <v>916</v>
      </c>
      <c r="H698" s="38" t="s">
        <v>33</v>
      </c>
      <c r="I698" s="38" t="s">
        <v>225</v>
      </c>
      <c r="J698" s="38" t="s">
        <v>34</v>
      </c>
      <c r="K698" s="39" t="s">
        <v>916</v>
      </c>
      <c r="L698" s="40"/>
    </row>
    <row r="699" spans="1:12" ht="25.5">
      <c r="A699" s="40">
        <v>46176</v>
      </c>
      <c r="B699" s="38">
        <f t="shared" si="12"/>
        <v>23</v>
      </c>
      <c r="D699" s="38" t="s">
        <v>422</v>
      </c>
      <c r="E699" s="38" t="s">
        <v>1278</v>
      </c>
      <c r="F699" s="38" t="s">
        <v>915</v>
      </c>
      <c r="G699" s="38" t="s">
        <v>916</v>
      </c>
      <c r="K699" s="39" t="s">
        <v>1596</v>
      </c>
      <c r="L699" s="40"/>
    </row>
    <row r="700" spans="1:12" ht="25.5">
      <c r="A700" s="40">
        <v>46176</v>
      </c>
      <c r="B700" s="38">
        <f t="shared" si="12"/>
        <v>23</v>
      </c>
      <c r="D700" s="38" t="s">
        <v>74</v>
      </c>
      <c r="E700" s="38" t="s">
        <v>1280</v>
      </c>
      <c r="F700" s="38" t="s">
        <v>915</v>
      </c>
      <c r="G700" s="38" t="s">
        <v>916</v>
      </c>
      <c r="K700" s="39" t="s">
        <v>1597</v>
      </c>
      <c r="L700" s="40"/>
    </row>
    <row r="701" spans="1:12" ht="25.5">
      <c r="A701" s="40">
        <v>46176</v>
      </c>
      <c r="B701" s="38">
        <f t="shared" si="12"/>
        <v>23</v>
      </c>
      <c r="D701" s="38" t="s">
        <v>60</v>
      </c>
      <c r="E701" s="38" t="s">
        <v>1280</v>
      </c>
      <c r="F701" s="38" t="s">
        <v>915</v>
      </c>
      <c r="G701" s="38" t="s">
        <v>916</v>
      </c>
      <c r="K701" s="39" t="s">
        <v>1596</v>
      </c>
      <c r="L701" s="40"/>
    </row>
    <row r="702" spans="1:12" ht="51">
      <c r="A702" s="40">
        <v>46176</v>
      </c>
      <c r="B702" s="38">
        <f t="shared" si="12"/>
        <v>23</v>
      </c>
      <c r="C702" s="39" t="s">
        <v>658</v>
      </c>
      <c r="D702" s="38" t="s">
        <v>657</v>
      </c>
      <c r="E702" s="38" t="s">
        <v>1280</v>
      </c>
      <c r="F702" s="38" t="s">
        <v>915</v>
      </c>
      <c r="G702" s="38" t="s">
        <v>916</v>
      </c>
      <c r="H702" s="38" t="s">
        <v>466</v>
      </c>
      <c r="I702" s="38" t="s">
        <v>225</v>
      </c>
      <c r="J702" s="38" t="s">
        <v>31</v>
      </c>
      <c r="K702" s="39" t="s">
        <v>1598</v>
      </c>
      <c r="L702" s="40"/>
    </row>
    <row r="703" spans="1:12" ht="25.5">
      <c r="A703" s="40">
        <v>46176</v>
      </c>
      <c r="B703" s="38">
        <f t="shared" si="12"/>
        <v>23</v>
      </c>
      <c r="C703" s="39" t="s">
        <v>1429</v>
      </c>
      <c r="D703" s="38" t="s">
        <v>66</v>
      </c>
      <c r="E703" s="38" t="s">
        <v>1269</v>
      </c>
      <c r="F703" s="38" t="s">
        <v>915</v>
      </c>
      <c r="G703" s="38" t="s">
        <v>916</v>
      </c>
      <c r="I703" s="38" t="s">
        <v>35</v>
      </c>
      <c r="J703" s="38" t="s">
        <v>31</v>
      </c>
      <c r="K703" s="39" t="s">
        <v>1599</v>
      </c>
      <c r="L703" s="40"/>
    </row>
    <row r="704" spans="1:12" ht="51">
      <c r="A704" s="40">
        <v>46176</v>
      </c>
      <c r="B704" s="38">
        <f t="shared" si="12"/>
        <v>23</v>
      </c>
      <c r="E704" s="38" t="s">
        <v>1269</v>
      </c>
      <c r="F704" s="38" t="s">
        <v>961</v>
      </c>
      <c r="K704" s="39" t="s">
        <v>1600</v>
      </c>
      <c r="L704" s="40"/>
    </row>
    <row r="705" spans="1:12">
      <c r="A705" s="58">
        <v>46175</v>
      </c>
      <c r="B705" s="59">
        <f t="shared" si="12"/>
        <v>23</v>
      </c>
      <c r="C705" s="60"/>
      <c r="D705" s="59"/>
      <c r="E705" s="59"/>
      <c r="F705" s="59"/>
      <c r="G705" s="59"/>
      <c r="H705" s="59"/>
      <c r="I705" s="59"/>
      <c r="J705" s="59"/>
      <c r="K705" s="60"/>
      <c r="L705" s="58"/>
    </row>
    <row r="706" spans="1:12">
      <c r="A706" s="40">
        <v>46175</v>
      </c>
      <c r="B706" s="38">
        <f t="shared" si="12"/>
        <v>23</v>
      </c>
      <c r="C706" s="39" t="s">
        <v>1429</v>
      </c>
      <c r="D706" s="38" t="s">
        <v>66</v>
      </c>
      <c r="E706" s="38" t="s">
        <v>1260</v>
      </c>
      <c r="F706" s="38" t="s">
        <v>915</v>
      </c>
      <c r="G706" s="38" t="s">
        <v>916</v>
      </c>
      <c r="I706" s="38" t="s">
        <v>35</v>
      </c>
      <c r="J706" s="38" t="s">
        <v>31</v>
      </c>
      <c r="L706" s="40"/>
    </row>
    <row r="707" spans="1:12" ht="38.25">
      <c r="A707" s="40">
        <v>46175</v>
      </c>
      <c r="B707" s="38">
        <f t="shared" si="12"/>
        <v>23</v>
      </c>
      <c r="C707" s="39" t="s">
        <v>662</v>
      </c>
      <c r="D707" s="38" t="s">
        <v>661</v>
      </c>
      <c r="E707" s="38" t="s">
        <v>1263</v>
      </c>
      <c r="F707" s="38" t="s">
        <v>915</v>
      </c>
      <c r="G707" s="38" t="s">
        <v>1264</v>
      </c>
      <c r="I707" s="38" t="s">
        <v>225</v>
      </c>
      <c r="J707" s="38" t="s">
        <v>34</v>
      </c>
      <c r="K707" s="39" t="s">
        <v>1601</v>
      </c>
      <c r="L707" s="40"/>
    </row>
    <row r="708" spans="1:12" ht="25.5">
      <c r="A708" s="40">
        <v>46175</v>
      </c>
      <c r="B708" s="38">
        <f t="shared" si="12"/>
        <v>23</v>
      </c>
      <c r="D708" s="38" t="s">
        <v>543</v>
      </c>
      <c r="E708" s="38" t="s">
        <v>1263</v>
      </c>
      <c r="F708" s="38" t="s">
        <v>915</v>
      </c>
      <c r="G708" s="38" t="s">
        <v>916</v>
      </c>
      <c r="K708" s="39" t="s">
        <v>1602</v>
      </c>
      <c r="L708" s="40"/>
    </row>
    <row r="709" spans="1:12">
      <c r="A709" s="40">
        <v>46175</v>
      </c>
      <c r="B709" s="38">
        <f t="shared" si="12"/>
        <v>23</v>
      </c>
      <c r="C709" s="39" t="s">
        <v>870</v>
      </c>
      <c r="D709" s="38" t="s">
        <v>675</v>
      </c>
      <c r="E709" s="38" t="s">
        <v>1263</v>
      </c>
      <c r="F709" s="38" t="s">
        <v>915</v>
      </c>
      <c r="G709" s="38" t="s">
        <v>916</v>
      </c>
      <c r="H709" s="38" t="s">
        <v>30</v>
      </c>
      <c r="I709" s="38" t="s">
        <v>35</v>
      </c>
      <c r="J709" s="38" t="s">
        <v>224</v>
      </c>
      <c r="K709" s="39" t="s">
        <v>1603</v>
      </c>
      <c r="L709" s="40"/>
    </row>
    <row r="710" spans="1:12">
      <c r="A710" s="40">
        <v>46175</v>
      </c>
      <c r="B710" s="38">
        <f t="shared" si="12"/>
        <v>23</v>
      </c>
      <c r="D710" s="38" t="s">
        <v>72</v>
      </c>
      <c r="E710" s="38" t="s">
        <v>1296</v>
      </c>
      <c r="F710" s="38" t="s">
        <v>915</v>
      </c>
      <c r="G710" s="38" t="s">
        <v>916</v>
      </c>
      <c r="K710" s="39" t="s">
        <v>1604</v>
      </c>
      <c r="L710" s="40"/>
    </row>
    <row r="711" spans="1:12">
      <c r="A711" s="40">
        <v>46175</v>
      </c>
      <c r="B711" s="38">
        <f t="shared" si="12"/>
        <v>23</v>
      </c>
      <c r="E711" s="38" t="s">
        <v>1266</v>
      </c>
      <c r="F711" s="38" t="s">
        <v>990</v>
      </c>
      <c r="J711" s="38" t="s">
        <v>31</v>
      </c>
      <c r="K711" s="39" t="s">
        <v>1605</v>
      </c>
      <c r="L711" s="40"/>
    </row>
    <row r="712" spans="1:12">
      <c r="A712" s="40">
        <v>46175</v>
      </c>
      <c r="B712" s="38">
        <f t="shared" si="12"/>
        <v>23</v>
      </c>
      <c r="E712" s="38" t="s">
        <v>1278</v>
      </c>
      <c r="F712" s="38" t="s">
        <v>990</v>
      </c>
      <c r="J712" s="38" t="s">
        <v>31</v>
      </c>
      <c r="K712" s="39" t="s">
        <v>1605</v>
      </c>
      <c r="L712" s="40"/>
    </row>
    <row r="713" spans="1:12">
      <c r="A713" s="40">
        <v>46175</v>
      </c>
      <c r="B713" s="38">
        <f t="shared" si="12"/>
        <v>23</v>
      </c>
      <c r="E713" s="38" t="s">
        <v>1280</v>
      </c>
      <c r="F713" s="38" t="s">
        <v>990</v>
      </c>
      <c r="J713" s="38" t="s">
        <v>31</v>
      </c>
      <c r="K713" s="39" t="s">
        <v>31</v>
      </c>
      <c r="L713" s="40"/>
    </row>
    <row r="714" spans="1:12" ht="25.5">
      <c r="A714" s="40">
        <v>46175</v>
      </c>
      <c r="B714" s="38">
        <f t="shared" si="12"/>
        <v>23</v>
      </c>
      <c r="E714" s="38" t="s">
        <v>1269</v>
      </c>
      <c r="F714" s="38" t="s">
        <v>990</v>
      </c>
      <c r="J714" s="38" t="s">
        <v>31</v>
      </c>
      <c r="K714" s="39" t="s">
        <v>1606</v>
      </c>
      <c r="L714" s="40"/>
    </row>
    <row r="715" spans="1:12">
      <c r="A715" s="60"/>
      <c r="B715" s="59"/>
      <c r="C715" s="59"/>
      <c r="D715" s="59"/>
      <c r="E715" s="59"/>
      <c r="F715" s="59"/>
      <c r="G715" s="59"/>
      <c r="H715" s="59"/>
      <c r="I715" s="60"/>
      <c r="J715" s="58"/>
      <c r="K715" s="60"/>
      <c r="L715" s="58"/>
    </row>
    <row r="716" spans="1:12" ht="38.25">
      <c r="A716" s="40">
        <v>46174</v>
      </c>
      <c r="B716" s="38">
        <f t="shared" si="12"/>
        <v>23</v>
      </c>
      <c r="C716" s="39" t="s">
        <v>1429</v>
      </c>
      <c r="D716" s="38" t="s">
        <v>66</v>
      </c>
      <c r="E716" s="38" t="s">
        <v>1260</v>
      </c>
      <c r="F716" s="38" t="s">
        <v>915</v>
      </c>
      <c r="G716" s="38" t="s">
        <v>916</v>
      </c>
      <c r="H716" s="38" t="s">
        <v>30</v>
      </c>
      <c r="I716" s="38" t="s">
        <v>35</v>
      </c>
      <c r="J716" s="38" t="s">
        <v>31</v>
      </c>
      <c r="K716" s="39" t="s">
        <v>1607</v>
      </c>
      <c r="L716" s="40"/>
    </row>
    <row r="717" spans="1:12">
      <c r="A717" s="40">
        <v>46174</v>
      </c>
      <c r="B717" s="38">
        <f t="shared" si="12"/>
        <v>23</v>
      </c>
      <c r="C717" s="39" t="s">
        <v>870</v>
      </c>
      <c r="D717" s="38" t="s">
        <v>675</v>
      </c>
      <c r="E717" s="38" t="s">
        <v>1260</v>
      </c>
      <c r="F717" s="38" t="s">
        <v>915</v>
      </c>
      <c r="G717" s="38" t="s">
        <v>916</v>
      </c>
      <c r="H717" s="38" t="s">
        <v>30</v>
      </c>
      <c r="I717" s="38" t="s">
        <v>35</v>
      </c>
      <c r="J717" s="38" t="s">
        <v>31</v>
      </c>
      <c r="K717" s="39" t="s">
        <v>1608</v>
      </c>
      <c r="L717" s="40"/>
    </row>
    <row r="718" spans="1:12" ht="25.5">
      <c r="A718" s="40">
        <v>46174</v>
      </c>
      <c r="B718" s="38">
        <f t="shared" si="12"/>
        <v>23</v>
      </c>
      <c r="D718" s="38" t="s">
        <v>639</v>
      </c>
      <c r="E718" s="38" t="s">
        <v>1263</v>
      </c>
      <c r="F718" s="38" t="s">
        <v>915</v>
      </c>
      <c r="G718" s="38" t="s">
        <v>916</v>
      </c>
      <c r="H718" s="38" t="s">
        <v>466</v>
      </c>
      <c r="I718" s="38" t="s">
        <v>225</v>
      </c>
      <c r="J718" s="38" t="s">
        <v>31</v>
      </c>
      <c r="K718" s="39" t="s">
        <v>1609</v>
      </c>
      <c r="L718" s="40"/>
    </row>
    <row r="719" spans="1:12" ht="25.5">
      <c r="A719" s="40">
        <v>46174</v>
      </c>
      <c r="B719" s="38">
        <f t="shared" si="12"/>
        <v>23</v>
      </c>
      <c r="E719" s="38" t="s">
        <v>1284</v>
      </c>
      <c r="F719" s="38" t="s">
        <v>990</v>
      </c>
      <c r="J719" s="38" t="s">
        <v>34</v>
      </c>
      <c r="K719" s="39" t="s">
        <v>1610</v>
      </c>
      <c r="L719" s="40"/>
    </row>
    <row r="720" spans="1:12">
      <c r="A720" s="40">
        <v>46174</v>
      </c>
      <c r="B720" s="38">
        <f t="shared" si="12"/>
        <v>23</v>
      </c>
      <c r="E720" s="38" t="s">
        <v>1266</v>
      </c>
      <c r="F720" s="38" t="s">
        <v>990</v>
      </c>
      <c r="J720" s="38" t="s">
        <v>31</v>
      </c>
      <c r="K720" s="39" t="s">
        <v>1611</v>
      </c>
      <c r="L720" s="40"/>
    </row>
    <row r="721" spans="1:12" ht="25.5">
      <c r="A721" s="40">
        <v>46174</v>
      </c>
      <c r="B721" s="38">
        <f t="shared" si="12"/>
        <v>23</v>
      </c>
      <c r="E721" s="38" t="s">
        <v>1278</v>
      </c>
      <c r="F721" s="38" t="s">
        <v>990</v>
      </c>
      <c r="J721" s="38" t="s">
        <v>31</v>
      </c>
      <c r="K721" s="39" t="s">
        <v>1612</v>
      </c>
      <c r="L721" s="40"/>
    </row>
    <row r="722" spans="1:12" ht="25.5">
      <c r="A722" s="40">
        <v>46174</v>
      </c>
      <c r="B722" s="38">
        <f t="shared" si="12"/>
        <v>23</v>
      </c>
      <c r="E722" s="38" t="s">
        <v>1280</v>
      </c>
      <c r="F722" s="38" t="s">
        <v>990</v>
      </c>
      <c r="J722" s="38" t="s">
        <v>31</v>
      </c>
      <c r="K722" s="39" t="s">
        <v>1612</v>
      </c>
      <c r="L722" s="40"/>
    </row>
    <row r="723" spans="1:12" ht="25.5">
      <c r="A723" s="40">
        <v>46174</v>
      </c>
      <c r="B723" s="38">
        <f>WEEKNUM(A723)</f>
        <v>23</v>
      </c>
      <c r="E723" s="38" t="s">
        <v>1269</v>
      </c>
      <c r="F723" s="38" t="s">
        <v>990</v>
      </c>
      <c r="K723" s="39" t="s">
        <v>1612</v>
      </c>
      <c r="L723" s="40"/>
    </row>
    <row r="724" spans="1:12">
      <c r="A724" s="40">
        <v>46174</v>
      </c>
      <c r="B724" s="38">
        <f t="shared" si="12"/>
        <v>23</v>
      </c>
      <c r="C724" s="39" t="s">
        <v>1505</v>
      </c>
      <c r="D724" s="38" t="s">
        <v>628</v>
      </c>
      <c r="E724" s="38" t="s">
        <v>1488</v>
      </c>
      <c r="F724" s="38" t="s">
        <v>915</v>
      </c>
      <c r="G724" s="38" t="s">
        <v>916</v>
      </c>
      <c r="H724" s="38" t="s">
        <v>30</v>
      </c>
      <c r="I724" s="38" t="s">
        <v>225</v>
      </c>
      <c r="J724" s="38" t="s">
        <v>34</v>
      </c>
      <c r="K724" s="39" t="s">
        <v>1613</v>
      </c>
      <c r="L724" s="40"/>
    </row>
    <row r="725" spans="1:12" ht="38.25">
      <c r="A725" s="40">
        <v>46179</v>
      </c>
      <c r="B725" s="38">
        <f t="shared" si="12"/>
        <v>23</v>
      </c>
      <c r="C725" s="39" t="s">
        <v>870</v>
      </c>
      <c r="D725" s="38" t="s">
        <v>675</v>
      </c>
      <c r="E725" s="38" t="s">
        <v>1260</v>
      </c>
      <c r="F725" s="38" t="s">
        <v>915</v>
      </c>
      <c r="G725" s="38" t="s">
        <v>916</v>
      </c>
      <c r="H725" s="38" t="s">
        <v>30</v>
      </c>
      <c r="K725" s="39" t="s">
        <v>1614</v>
      </c>
      <c r="L725" s="40"/>
    </row>
    <row r="726" spans="1:12" ht="63.75">
      <c r="A726" s="40">
        <v>46179</v>
      </c>
      <c r="B726" s="38">
        <f t="shared" si="12"/>
        <v>23</v>
      </c>
      <c r="C726" s="39" t="s">
        <v>1429</v>
      </c>
      <c r="D726" s="38" t="s">
        <v>66</v>
      </c>
      <c r="E726" s="38" t="s">
        <v>1263</v>
      </c>
      <c r="F726" s="38" t="s">
        <v>926</v>
      </c>
      <c r="G726" s="38" t="s">
        <v>916</v>
      </c>
      <c r="H726" s="38" t="s">
        <v>30</v>
      </c>
      <c r="I726" s="38" t="s">
        <v>35</v>
      </c>
      <c r="J726" s="38" t="s">
        <v>31</v>
      </c>
      <c r="K726" s="39" t="s">
        <v>1615</v>
      </c>
      <c r="L726" s="40"/>
    </row>
    <row r="727" spans="1:12" ht="25.5">
      <c r="A727" s="40">
        <v>46179</v>
      </c>
      <c r="B727" s="38">
        <f t="shared" si="12"/>
        <v>23</v>
      </c>
      <c r="D727" s="38" t="s">
        <v>676</v>
      </c>
      <c r="E727" s="38" t="s">
        <v>1296</v>
      </c>
      <c r="F727" s="38" t="s">
        <v>915</v>
      </c>
      <c r="G727" s="38" t="s">
        <v>1264</v>
      </c>
      <c r="J727" s="38" t="s">
        <v>37</v>
      </c>
      <c r="K727" s="39" t="s">
        <v>1616</v>
      </c>
      <c r="L727" s="40"/>
    </row>
    <row r="728" spans="1:12" ht="51">
      <c r="A728" s="40">
        <v>46179</v>
      </c>
      <c r="B728" s="38">
        <f t="shared" si="12"/>
        <v>23</v>
      </c>
      <c r="C728" s="39" t="s">
        <v>662</v>
      </c>
      <c r="D728" s="38" t="s">
        <v>661</v>
      </c>
      <c r="E728" s="38" t="s">
        <v>1296</v>
      </c>
      <c r="F728" s="38" t="s">
        <v>915</v>
      </c>
      <c r="G728" s="38" t="s">
        <v>916</v>
      </c>
      <c r="H728" s="38" t="s">
        <v>30</v>
      </c>
      <c r="I728" s="38" t="s">
        <v>225</v>
      </c>
      <c r="J728" s="38" t="s">
        <v>34</v>
      </c>
      <c r="K728" s="39" t="s">
        <v>1617</v>
      </c>
      <c r="L728" s="40"/>
    </row>
    <row r="729" spans="1:12">
      <c r="A729" s="58">
        <v>46221</v>
      </c>
      <c r="B729" s="59">
        <f t="shared" si="12"/>
        <v>29</v>
      </c>
      <c r="C729" s="60"/>
      <c r="D729" s="59"/>
      <c r="E729" s="59" t="s">
        <v>1284</v>
      </c>
      <c r="F729" s="59" t="s">
        <v>915</v>
      </c>
      <c r="G729" s="59" t="s">
        <v>1264</v>
      </c>
      <c r="H729" s="59"/>
      <c r="I729" s="59"/>
      <c r="J729" s="59"/>
      <c r="K729" s="60"/>
      <c r="L729" s="40"/>
    </row>
    <row r="730" spans="1:12" ht="127.5">
      <c r="A730" s="40">
        <v>46221</v>
      </c>
      <c r="B730" s="38">
        <f t="shared" si="12"/>
        <v>29</v>
      </c>
      <c r="C730" s="39" t="s">
        <v>1618</v>
      </c>
      <c r="D730" s="38" t="s">
        <v>241</v>
      </c>
      <c r="E730" s="38" t="s">
        <v>1260</v>
      </c>
      <c r="F730" s="38" t="s">
        <v>915</v>
      </c>
      <c r="G730" s="38" t="s">
        <v>916</v>
      </c>
      <c r="H730" s="38" t="s">
        <v>30</v>
      </c>
      <c r="I730" s="38" t="s">
        <v>41</v>
      </c>
      <c r="J730" s="38" t="s">
        <v>42</v>
      </c>
      <c r="K730" s="39" t="s">
        <v>1619</v>
      </c>
      <c r="L730" s="40"/>
    </row>
    <row r="731" spans="1:12" ht="51">
      <c r="A731" s="40">
        <v>46221</v>
      </c>
      <c r="B731" s="38">
        <f t="shared" ref="B731:B792" si="13">WEEKNUM(A731)</f>
        <v>29</v>
      </c>
      <c r="C731" s="39" t="s">
        <v>688</v>
      </c>
      <c r="D731" s="38" t="s">
        <v>686</v>
      </c>
      <c r="E731" s="38" t="s">
        <v>1263</v>
      </c>
      <c r="F731" s="38" t="s">
        <v>915</v>
      </c>
      <c r="G731" s="38" t="s">
        <v>1264</v>
      </c>
      <c r="H731" s="38" t="s">
        <v>466</v>
      </c>
      <c r="I731" s="38" t="s">
        <v>225</v>
      </c>
      <c r="K731" s="39" t="s">
        <v>1620</v>
      </c>
      <c r="L731" s="40"/>
    </row>
    <row r="732" spans="1:12" ht="51">
      <c r="A732" s="40">
        <v>46221</v>
      </c>
      <c r="B732" s="38">
        <f t="shared" si="13"/>
        <v>29</v>
      </c>
      <c r="C732" s="39" t="s">
        <v>691</v>
      </c>
      <c r="D732" s="38" t="s">
        <v>689</v>
      </c>
      <c r="E732" s="38" t="s">
        <v>1263</v>
      </c>
      <c r="F732" s="38" t="s">
        <v>915</v>
      </c>
      <c r="G732" s="38" t="s">
        <v>1264</v>
      </c>
      <c r="H732" s="38" t="s">
        <v>466</v>
      </c>
      <c r="I732" s="38" t="s">
        <v>225</v>
      </c>
      <c r="K732" s="39" t="s">
        <v>1620</v>
      </c>
      <c r="L732" s="40"/>
    </row>
    <row r="733" spans="1:12" ht="51">
      <c r="A733" s="40">
        <v>46221</v>
      </c>
      <c r="B733" s="38">
        <f t="shared" si="13"/>
        <v>29</v>
      </c>
      <c r="C733" s="39" t="s">
        <v>694</v>
      </c>
      <c r="D733" s="38" t="s">
        <v>692</v>
      </c>
      <c r="E733" s="38" t="s">
        <v>1263</v>
      </c>
      <c r="F733" s="38" t="s">
        <v>915</v>
      </c>
      <c r="G733" s="38" t="s">
        <v>1264</v>
      </c>
      <c r="H733" s="38" t="s">
        <v>466</v>
      </c>
      <c r="I733" s="38" t="s">
        <v>225</v>
      </c>
      <c r="K733" s="39" t="s">
        <v>1620</v>
      </c>
      <c r="L733" s="40"/>
    </row>
    <row r="734" spans="1:12" ht="51">
      <c r="A734" s="40">
        <v>46221</v>
      </c>
      <c r="B734" s="38">
        <f t="shared" si="13"/>
        <v>29</v>
      </c>
      <c r="C734" s="39" t="s">
        <v>697</v>
      </c>
      <c r="D734" s="38" t="s">
        <v>695</v>
      </c>
      <c r="E734" s="38" t="s">
        <v>1263</v>
      </c>
      <c r="F734" s="38" t="s">
        <v>1621</v>
      </c>
      <c r="G734" s="38" t="s">
        <v>1264</v>
      </c>
      <c r="H734" s="38" t="s">
        <v>466</v>
      </c>
      <c r="I734" s="38" t="s">
        <v>225</v>
      </c>
      <c r="K734" s="39" t="s">
        <v>1620</v>
      </c>
      <c r="L734" s="40"/>
    </row>
    <row r="735" spans="1:12" ht="51">
      <c r="A735" s="40">
        <v>46221</v>
      </c>
      <c r="B735" s="38">
        <f t="shared" si="13"/>
        <v>29</v>
      </c>
      <c r="C735" s="39" t="s">
        <v>700</v>
      </c>
      <c r="D735" s="38" t="s">
        <v>698</v>
      </c>
      <c r="E735" s="38" t="s">
        <v>1263</v>
      </c>
      <c r="F735" s="38" t="s">
        <v>915</v>
      </c>
      <c r="G735" s="38" t="s">
        <v>1264</v>
      </c>
      <c r="H735" s="38" t="s">
        <v>466</v>
      </c>
      <c r="I735" s="38" t="s">
        <v>225</v>
      </c>
      <c r="K735" s="39" t="s">
        <v>1620</v>
      </c>
      <c r="L735" s="40"/>
    </row>
    <row r="736" spans="1:12" ht="51">
      <c r="A736" s="40">
        <v>46221</v>
      </c>
      <c r="B736" s="38">
        <f t="shared" si="13"/>
        <v>29</v>
      </c>
      <c r="C736" s="39" t="s">
        <v>1622</v>
      </c>
      <c r="E736" s="38" t="s">
        <v>1296</v>
      </c>
      <c r="F736" s="38" t="s">
        <v>990</v>
      </c>
      <c r="G736" s="38" t="s">
        <v>943</v>
      </c>
      <c r="I736" s="38" t="s">
        <v>225</v>
      </c>
      <c r="J736" s="38" t="s">
        <v>34</v>
      </c>
      <c r="K736" s="39" t="s">
        <v>1623</v>
      </c>
      <c r="L736" s="40"/>
    </row>
    <row r="737" spans="1:12" ht="25.5">
      <c r="A737" s="40">
        <v>46221</v>
      </c>
      <c r="B737" s="38">
        <f t="shared" si="13"/>
        <v>29</v>
      </c>
      <c r="C737" s="39" t="s">
        <v>1624</v>
      </c>
      <c r="E737" s="38" t="s">
        <v>1296</v>
      </c>
      <c r="F737" s="38" t="s">
        <v>990</v>
      </c>
      <c r="G737" s="38" t="s">
        <v>943</v>
      </c>
      <c r="I737" s="38" t="s">
        <v>225</v>
      </c>
      <c r="J737" s="38" t="s">
        <v>34</v>
      </c>
      <c r="K737" s="39" t="s">
        <v>1625</v>
      </c>
      <c r="L737" s="40"/>
    </row>
    <row r="738" spans="1:12" ht="25.5">
      <c r="A738" s="40">
        <v>46221</v>
      </c>
      <c r="B738" s="38">
        <f t="shared" si="13"/>
        <v>29</v>
      </c>
      <c r="C738" s="39" t="s">
        <v>684</v>
      </c>
      <c r="D738" s="38" t="s">
        <v>683</v>
      </c>
      <c r="E738" s="38" t="s">
        <v>1296</v>
      </c>
      <c r="F738" s="38" t="s">
        <v>990</v>
      </c>
      <c r="G738" s="38" t="s">
        <v>943</v>
      </c>
      <c r="I738" s="38" t="s">
        <v>225</v>
      </c>
      <c r="J738" s="38" t="s">
        <v>34</v>
      </c>
      <c r="K738" s="39" t="s">
        <v>685</v>
      </c>
      <c r="L738" s="40"/>
    </row>
    <row r="739" spans="1:12" ht="25.5" customHeight="1">
      <c r="A739" s="40">
        <v>46221</v>
      </c>
      <c r="B739" s="38">
        <f t="shared" si="13"/>
        <v>29</v>
      </c>
      <c r="D739" s="38" t="s">
        <v>701</v>
      </c>
      <c r="E739" s="38" t="s">
        <v>1284</v>
      </c>
      <c r="F739" s="38" t="s">
        <v>990</v>
      </c>
      <c r="G739" s="38" t="s">
        <v>943</v>
      </c>
      <c r="I739" s="38" t="s">
        <v>225</v>
      </c>
      <c r="J739" s="38" t="s">
        <v>34</v>
      </c>
      <c r="K739" s="39" t="s">
        <v>1626</v>
      </c>
      <c r="L739" s="40"/>
    </row>
    <row r="740" spans="1:12" ht="33.75" customHeight="1">
      <c r="A740" s="40">
        <v>46221</v>
      </c>
      <c r="B740" s="38">
        <f t="shared" si="13"/>
        <v>29</v>
      </c>
      <c r="C740" s="39" t="s">
        <v>1627</v>
      </c>
      <c r="E740" s="38" t="s">
        <v>1266</v>
      </c>
      <c r="F740" s="38" t="s">
        <v>990</v>
      </c>
      <c r="G740" s="38" t="s">
        <v>943</v>
      </c>
      <c r="I740" s="38" t="s">
        <v>225</v>
      </c>
      <c r="J740" s="38" t="s">
        <v>34</v>
      </c>
      <c r="K740" s="39" t="s">
        <v>1628</v>
      </c>
      <c r="L740" s="40"/>
    </row>
    <row r="741" spans="1:12" ht="51">
      <c r="A741" s="40">
        <v>46221</v>
      </c>
      <c r="B741" s="38">
        <f t="shared" si="13"/>
        <v>29</v>
      </c>
      <c r="C741" s="39" t="s">
        <v>1629</v>
      </c>
      <c r="E741" s="38" t="s">
        <v>1266</v>
      </c>
      <c r="F741" s="38" t="s">
        <v>990</v>
      </c>
      <c r="G741" s="38" t="s">
        <v>943</v>
      </c>
      <c r="I741" s="38" t="s">
        <v>225</v>
      </c>
      <c r="J741" s="38" t="s">
        <v>34</v>
      </c>
      <c r="K741" s="39" t="s">
        <v>1630</v>
      </c>
      <c r="L741" s="40"/>
    </row>
    <row r="742" spans="1:12">
      <c r="A742" s="40">
        <v>46221</v>
      </c>
      <c r="B742" s="38">
        <f t="shared" si="13"/>
        <v>29</v>
      </c>
      <c r="C742" s="39" t="s">
        <v>1631</v>
      </c>
      <c r="E742" s="38" t="s">
        <v>1278</v>
      </c>
      <c r="F742" s="38" t="s">
        <v>990</v>
      </c>
      <c r="G742" s="38" t="s">
        <v>943</v>
      </c>
      <c r="I742" s="38" t="s">
        <v>225</v>
      </c>
      <c r="J742" s="38" t="s">
        <v>34</v>
      </c>
      <c r="L742" s="40"/>
    </row>
    <row r="743" spans="1:12" ht="25.5">
      <c r="A743" s="40">
        <v>46221</v>
      </c>
      <c r="B743" s="38">
        <f t="shared" si="13"/>
        <v>29</v>
      </c>
      <c r="D743" s="38" t="s">
        <v>683</v>
      </c>
      <c r="E743" s="38" t="s">
        <v>1280</v>
      </c>
      <c r="F743" s="38" t="s">
        <v>915</v>
      </c>
      <c r="G743" s="38" t="s">
        <v>916</v>
      </c>
      <c r="H743" s="38" t="s">
        <v>30</v>
      </c>
      <c r="I743" s="38" t="s">
        <v>225</v>
      </c>
      <c r="J743" s="38" t="s">
        <v>34</v>
      </c>
      <c r="K743" s="39" t="s">
        <v>1632</v>
      </c>
      <c r="L743" s="40"/>
    </row>
    <row r="744" spans="1:12" ht="38.25">
      <c r="A744" s="40"/>
      <c r="B744" s="38">
        <f t="shared" si="13"/>
        <v>0</v>
      </c>
      <c r="E744" s="38" t="s">
        <v>1269</v>
      </c>
      <c r="F744" s="38" t="s">
        <v>961</v>
      </c>
      <c r="K744" s="39" t="s">
        <v>1633</v>
      </c>
      <c r="L744" s="40"/>
    </row>
    <row r="745" spans="1:12">
      <c r="A745" s="58"/>
      <c r="B745" s="59">
        <f t="shared" si="13"/>
        <v>0</v>
      </c>
      <c r="C745" s="60"/>
      <c r="D745" s="59"/>
      <c r="E745" s="59"/>
      <c r="F745" s="59"/>
      <c r="G745" s="59"/>
      <c r="H745" s="59"/>
      <c r="I745" s="59"/>
      <c r="J745" s="59"/>
      <c r="K745" s="60"/>
      <c r="L745" s="40"/>
    </row>
    <row r="746" spans="1:12" ht="51">
      <c r="A746" s="40">
        <v>46222</v>
      </c>
      <c r="B746" s="38">
        <f t="shared" si="13"/>
        <v>30</v>
      </c>
      <c r="C746" s="39" t="s">
        <v>1634</v>
      </c>
      <c r="D746" s="38" t="s">
        <v>253</v>
      </c>
      <c r="E746" s="38" t="s">
        <v>1260</v>
      </c>
      <c r="F746" s="38" t="s">
        <v>926</v>
      </c>
      <c r="G746" s="38" t="s">
        <v>943</v>
      </c>
      <c r="H746" s="38" t="s">
        <v>30</v>
      </c>
      <c r="I746" s="38" t="s">
        <v>225</v>
      </c>
      <c r="J746" s="38" t="s">
        <v>34</v>
      </c>
      <c r="K746" s="39" t="s">
        <v>1635</v>
      </c>
      <c r="L746" s="40"/>
    </row>
    <row r="747" spans="1:12" ht="38.25">
      <c r="A747" s="40">
        <v>46222</v>
      </c>
      <c r="B747" s="38">
        <f t="shared" si="13"/>
        <v>30</v>
      </c>
      <c r="C747" s="39" t="s">
        <v>1636</v>
      </c>
      <c r="D747" s="38" t="s">
        <v>719</v>
      </c>
      <c r="E747" s="38" t="s">
        <v>1284</v>
      </c>
      <c r="F747" s="38" t="s">
        <v>915</v>
      </c>
      <c r="G747" s="38" t="s">
        <v>916</v>
      </c>
      <c r="H747" s="38" t="s">
        <v>30</v>
      </c>
      <c r="I747" s="38" t="s">
        <v>1483</v>
      </c>
      <c r="J747" s="38" t="s">
        <v>31</v>
      </c>
      <c r="K747" s="39" t="s">
        <v>1637</v>
      </c>
      <c r="L747" s="40"/>
    </row>
    <row r="748" spans="1:12" ht="38.25">
      <c r="A748" s="40">
        <v>46222</v>
      </c>
      <c r="B748" s="38">
        <f t="shared" si="13"/>
        <v>30</v>
      </c>
      <c r="C748" s="39" t="s">
        <v>586</v>
      </c>
      <c r="D748" s="38" t="s">
        <v>723</v>
      </c>
      <c r="E748" s="38" t="s">
        <v>1284</v>
      </c>
      <c r="F748" s="38" t="s">
        <v>915</v>
      </c>
      <c r="G748" s="38" t="s">
        <v>916</v>
      </c>
      <c r="H748" s="38" t="s">
        <v>466</v>
      </c>
      <c r="I748" s="38" t="s">
        <v>225</v>
      </c>
      <c r="K748" s="39" t="s">
        <v>1638</v>
      </c>
      <c r="L748" s="40"/>
    </row>
    <row r="749" spans="1:12">
      <c r="A749" s="40">
        <v>46222</v>
      </c>
      <c r="B749" s="38">
        <f t="shared" si="13"/>
        <v>30</v>
      </c>
      <c r="E749" s="38" t="s">
        <v>1266</v>
      </c>
      <c r="F749" s="38" t="s">
        <v>915</v>
      </c>
      <c r="G749" s="38" t="s">
        <v>1264</v>
      </c>
      <c r="I749" s="38" t="s">
        <v>225</v>
      </c>
      <c r="K749" s="39" t="s">
        <v>1639</v>
      </c>
      <c r="L749" s="40"/>
    </row>
    <row r="750" spans="1:12">
      <c r="A750" s="40">
        <v>46222</v>
      </c>
      <c r="B750" s="38">
        <f t="shared" si="13"/>
        <v>30</v>
      </c>
      <c r="E750" s="38" t="s">
        <v>1278</v>
      </c>
      <c r="F750" s="38" t="s">
        <v>915</v>
      </c>
      <c r="G750" s="38" t="s">
        <v>1264</v>
      </c>
      <c r="I750" s="38" t="s">
        <v>225</v>
      </c>
      <c r="L750" s="40"/>
    </row>
    <row r="751" spans="1:12" ht="38.25">
      <c r="A751" s="40">
        <v>46222</v>
      </c>
      <c r="B751" s="38">
        <f t="shared" si="13"/>
        <v>30</v>
      </c>
      <c r="C751" s="39" t="s">
        <v>1640</v>
      </c>
      <c r="D751" s="38" t="s">
        <v>702</v>
      </c>
      <c r="E751" s="38" t="s">
        <v>1280</v>
      </c>
      <c r="F751" s="38" t="s">
        <v>915</v>
      </c>
      <c r="G751" s="38" t="s">
        <v>1264</v>
      </c>
      <c r="I751" s="38" t="s">
        <v>225</v>
      </c>
      <c r="K751" s="39" t="s">
        <v>1641</v>
      </c>
      <c r="L751" s="40"/>
    </row>
    <row r="752" spans="1:12" ht="63.75">
      <c r="A752" s="40">
        <v>46222</v>
      </c>
      <c r="B752" s="38">
        <f t="shared" si="13"/>
        <v>30</v>
      </c>
      <c r="C752" s="39" t="s">
        <v>586</v>
      </c>
      <c r="D752" s="38" t="s">
        <v>705</v>
      </c>
      <c r="E752" s="38" t="s">
        <v>1280</v>
      </c>
      <c r="F752" s="38" t="s">
        <v>915</v>
      </c>
      <c r="G752" s="38" t="s">
        <v>1264</v>
      </c>
      <c r="I752" s="38" t="s">
        <v>225</v>
      </c>
      <c r="J752" s="38" t="s">
        <v>31</v>
      </c>
      <c r="K752" s="39" t="s">
        <v>1642</v>
      </c>
      <c r="L752" s="40"/>
    </row>
    <row r="753" spans="1:13" ht="25.5">
      <c r="A753" s="40">
        <v>46222</v>
      </c>
      <c r="B753" s="38">
        <f t="shared" si="13"/>
        <v>30</v>
      </c>
      <c r="E753" s="38" t="s">
        <v>1269</v>
      </c>
      <c r="F753" s="38" t="s">
        <v>961</v>
      </c>
      <c r="K753" s="39" t="s">
        <v>1643</v>
      </c>
      <c r="L753" s="40"/>
    </row>
    <row r="754" spans="1:13">
      <c r="A754" s="58">
        <v>46222</v>
      </c>
      <c r="B754" s="59">
        <f t="shared" si="13"/>
        <v>30</v>
      </c>
      <c r="C754" s="60"/>
      <c r="D754" s="59"/>
      <c r="E754" s="59"/>
      <c r="F754" s="59"/>
      <c r="G754" s="59"/>
      <c r="H754" s="59"/>
      <c r="I754" s="59"/>
      <c r="J754" s="59"/>
      <c r="K754" s="60"/>
      <c r="L754" s="58"/>
    </row>
    <row r="755" spans="1:13" ht="38.25">
      <c r="A755" s="40">
        <v>46223</v>
      </c>
      <c r="B755" s="38">
        <f t="shared" si="13"/>
        <v>30</v>
      </c>
      <c r="C755" s="39" t="s">
        <v>1644</v>
      </c>
      <c r="D755" s="38" t="s">
        <v>706</v>
      </c>
      <c r="E755" s="38" t="s">
        <v>1260</v>
      </c>
      <c r="F755" s="38" t="s">
        <v>915</v>
      </c>
      <c r="G755" s="38" t="s">
        <v>1264</v>
      </c>
      <c r="K755" s="39" t="s">
        <v>1645</v>
      </c>
      <c r="L755" s="40"/>
    </row>
    <row r="756" spans="1:13" ht="38.25">
      <c r="A756" s="40">
        <v>46223</v>
      </c>
      <c r="B756" s="38">
        <f t="shared" si="13"/>
        <v>30</v>
      </c>
      <c r="C756" s="39" t="s">
        <v>1507</v>
      </c>
      <c r="D756" s="38" t="s">
        <v>249</v>
      </c>
      <c r="E756" s="38" t="s">
        <v>1260</v>
      </c>
      <c r="F756" s="38" t="s">
        <v>915</v>
      </c>
      <c r="G756" s="38" t="s">
        <v>916</v>
      </c>
      <c r="H756" s="38" t="s">
        <v>33</v>
      </c>
      <c r="I756" s="38" t="s">
        <v>32</v>
      </c>
      <c r="J756" s="38" t="s">
        <v>31</v>
      </c>
      <c r="K756" s="39" t="s">
        <v>1646</v>
      </c>
      <c r="L756" s="40"/>
    </row>
    <row r="757" spans="1:13" ht="76.5">
      <c r="A757" s="40">
        <v>46223</v>
      </c>
      <c r="B757" s="38">
        <f t="shared" si="13"/>
        <v>30</v>
      </c>
      <c r="C757" s="39" t="s">
        <v>586</v>
      </c>
      <c r="D757" s="38" t="s">
        <v>70</v>
      </c>
      <c r="E757" s="38" t="s">
        <v>1263</v>
      </c>
      <c r="F757" s="38" t="s">
        <v>915</v>
      </c>
      <c r="G757" s="38" t="s">
        <v>916</v>
      </c>
      <c r="H757" s="38" t="s">
        <v>30</v>
      </c>
      <c r="I757" s="38" t="s">
        <v>41</v>
      </c>
      <c r="J757" s="38" t="s">
        <v>31</v>
      </c>
      <c r="K757" s="39" t="s">
        <v>1647</v>
      </c>
      <c r="L757" s="40"/>
    </row>
    <row r="758" spans="1:13" ht="36.75" customHeight="1">
      <c r="A758" s="40">
        <v>46223</v>
      </c>
      <c r="B758" s="38">
        <f t="shared" si="13"/>
        <v>30</v>
      </c>
      <c r="C758" s="39" t="s">
        <v>726</v>
      </c>
      <c r="D758" s="38" t="s">
        <v>725</v>
      </c>
      <c r="E758" s="38" t="s">
        <v>1263</v>
      </c>
      <c r="F758" s="38" t="s">
        <v>915</v>
      </c>
      <c r="G758" s="38" t="s">
        <v>916</v>
      </c>
      <c r="I758" s="38" t="s">
        <v>225</v>
      </c>
      <c r="J758" s="38" t="s">
        <v>31</v>
      </c>
      <c r="K758" s="281" t="s">
        <v>1648</v>
      </c>
      <c r="L758" s="40"/>
    </row>
    <row r="759" spans="1:13" ht="38.25">
      <c r="A759" s="40">
        <v>46223</v>
      </c>
      <c r="B759" s="38">
        <f t="shared" si="13"/>
        <v>30</v>
      </c>
      <c r="C759" s="39" t="s">
        <v>1649</v>
      </c>
      <c r="E759" s="38" t="s">
        <v>1296</v>
      </c>
      <c r="F759" s="38" t="s">
        <v>990</v>
      </c>
      <c r="G759" s="38" t="s">
        <v>943</v>
      </c>
      <c r="I759" s="38" t="s">
        <v>225</v>
      </c>
      <c r="J759" s="38" t="s">
        <v>34</v>
      </c>
      <c r="K759" s="39" t="s">
        <v>1650</v>
      </c>
      <c r="L759" s="40"/>
    </row>
    <row r="760" spans="1:13" ht="38.25">
      <c r="A760" s="40">
        <v>46223</v>
      </c>
      <c r="B760" s="38">
        <f t="shared" si="13"/>
        <v>30</v>
      </c>
      <c r="C760" s="39" t="s">
        <v>1651</v>
      </c>
      <c r="E760" s="38" t="s">
        <v>1284</v>
      </c>
      <c r="F760" s="38" t="s">
        <v>990</v>
      </c>
      <c r="G760" s="38" t="s">
        <v>943</v>
      </c>
      <c r="I760" s="38" t="s">
        <v>225</v>
      </c>
      <c r="J760" s="38" t="s">
        <v>34</v>
      </c>
      <c r="K760" s="39" t="s">
        <v>1650</v>
      </c>
      <c r="L760" s="40"/>
    </row>
    <row r="761" spans="1:13" ht="25.5">
      <c r="A761" s="40">
        <v>46223</v>
      </c>
      <c r="B761" s="38">
        <f t="shared" si="13"/>
        <v>30</v>
      </c>
      <c r="C761" s="39" t="s">
        <v>1652</v>
      </c>
      <c r="E761" s="38" t="s">
        <v>1266</v>
      </c>
      <c r="F761" s="38" t="s">
        <v>990</v>
      </c>
      <c r="G761" s="38" t="s">
        <v>943</v>
      </c>
      <c r="I761" s="38" t="s">
        <v>225</v>
      </c>
      <c r="J761" s="38" t="s">
        <v>34</v>
      </c>
      <c r="K761" s="39" t="s">
        <v>1653</v>
      </c>
      <c r="L761" s="40"/>
    </row>
    <row r="762" spans="1:13" ht="38.25">
      <c r="A762" s="40">
        <v>46223</v>
      </c>
      <c r="B762" s="38">
        <f t="shared" si="13"/>
        <v>30</v>
      </c>
      <c r="C762" s="39" t="s">
        <v>994</v>
      </c>
      <c r="E762" s="38" t="s">
        <v>1278</v>
      </c>
      <c r="F762" s="38" t="s">
        <v>990</v>
      </c>
      <c r="G762" s="38" t="s">
        <v>943</v>
      </c>
      <c r="I762" s="38" t="s">
        <v>225</v>
      </c>
      <c r="J762" s="38" t="s">
        <v>34</v>
      </c>
      <c r="K762" s="39" t="s">
        <v>1654</v>
      </c>
      <c r="L762" s="40">
        <v>46228</v>
      </c>
      <c r="M762" s="39" t="s">
        <v>1655</v>
      </c>
    </row>
    <row r="763" spans="1:13">
      <c r="A763" s="40">
        <v>46223</v>
      </c>
      <c r="B763" s="38">
        <f t="shared" si="13"/>
        <v>30</v>
      </c>
      <c r="C763" s="39" t="s">
        <v>1656</v>
      </c>
      <c r="E763" s="38" t="s">
        <v>1278</v>
      </c>
      <c r="F763" s="38" t="s">
        <v>990</v>
      </c>
      <c r="G763" s="38" t="s">
        <v>943</v>
      </c>
      <c r="I763" s="38" t="s">
        <v>225</v>
      </c>
      <c r="J763" s="38" t="s">
        <v>34</v>
      </c>
      <c r="K763" s="39" t="s">
        <v>1657</v>
      </c>
      <c r="L763" s="40"/>
    </row>
    <row r="764" spans="1:13" ht="38.25">
      <c r="A764" s="40">
        <v>46223</v>
      </c>
      <c r="B764" s="38">
        <f t="shared" si="13"/>
        <v>30</v>
      </c>
      <c r="C764" s="39" t="s">
        <v>1658</v>
      </c>
      <c r="E764" s="38" t="s">
        <v>1280</v>
      </c>
      <c r="F764" s="38" t="s">
        <v>990</v>
      </c>
      <c r="G764" s="38" t="s">
        <v>943</v>
      </c>
      <c r="I764" s="38" t="s">
        <v>225</v>
      </c>
      <c r="J764" s="38" t="s">
        <v>34</v>
      </c>
      <c r="K764" s="39" t="s">
        <v>1659</v>
      </c>
      <c r="L764" s="40"/>
    </row>
    <row r="765" spans="1:13" ht="51">
      <c r="A765" s="40">
        <v>46223</v>
      </c>
      <c r="B765" s="38">
        <f t="shared" si="13"/>
        <v>30</v>
      </c>
      <c r="E765" s="38" t="s">
        <v>1269</v>
      </c>
      <c r="F765" s="38" t="s">
        <v>961</v>
      </c>
      <c r="K765" s="39" t="s">
        <v>1660</v>
      </c>
      <c r="L765" s="40"/>
    </row>
    <row r="766" spans="1:13">
      <c r="A766" s="58"/>
      <c r="B766" s="59">
        <f t="shared" si="13"/>
        <v>0</v>
      </c>
      <c r="C766" s="60"/>
      <c r="D766" s="59"/>
      <c r="E766" s="59"/>
      <c r="F766" s="59"/>
      <c r="G766" s="59"/>
      <c r="H766" s="59"/>
      <c r="I766" s="59"/>
      <c r="J766" s="59"/>
      <c r="K766" s="60"/>
      <c r="L766" s="58"/>
    </row>
    <row r="767" spans="1:13">
      <c r="A767" s="40">
        <v>46224</v>
      </c>
      <c r="B767" s="38">
        <f t="shared" si="13"/>
        <v>30</v>
      </c>
      <c r="C767" s="39" t="s">
        <v>252</v>
      </c>
      <c r="D767" s="38" t="s">
        <v>253</v>
      </c>
      <c r="E767" s="38" t="s">
        <v>1260</v>
      </c>
      <c r="F767" s="38" t="s">
        <v>915</v>
      </c>
      <c r="G767" s="38" t="s">
        <v>916</v>
      </c>
      <c r="H767" s="38" t="s">
        <v>30</v>
      </c>
      <c r="I767" s="38" t="s">
        <v>32</v>
      </c>
      <c r="J767" s="38" t="s">
        <v>34</v>
      </c>
      <c r="K767" s="39" t="s">
        <v>1661</v>
      </c>
      <c r="L767" s="40"/>
    </row>
    <row r="768" spans="1:13" ht="38.25">
      <c r="A768" s="40">
        <v>46224</v>
      </c>
      <c r="B768" s="38">
        <f t="shared" si="13"/>
        <v>30</v>
      </c>
      <c r="C768" s="39" t="s">
        <v>1636</v>
      </c>
      <c r="D768" s="38" t="s">
        <v>538</v>
      </c>
      <c r="E768" s="38" t="s">
        <v>1260</v>
      </c>
      <c r="F768" s="38" t="s">
        <v>915</v>
      </c>
      <c r="G768" s="38" t="s">
        <v>916</v>
      </c>
      <c r="H768" s="38" t="s">
        <v>30</v>
      </c>
      <c r="I768" s="38" t="s">
        <v>32</v>
      </c>
      <c r="J768" s="38" t="s">
        <v>31</v>
      </c>
      <c r="K768" s="39" t="s">
        <v>1662</v>
      </c>
      <c r="L768" s="40"/>
    </row>
    <row r="769" spans="1:13" ht="51">
      <c r="A769" s="40">
        <v>46224</v>
      </c>
      <c r="B769" s="38">
        <f>WEEKNUM(A769)</f>
        <v>30</v>
      </c>
      <c r="C769" s="39" t="s">
        <v>1663</v>
      </c>
      <c r="D769" s="38" t="s">
        <v>728</v>
      </c>
      <c r="E769" s="38" t="s">
        <v>1284</v>
      </c>
      <c r="F769" s="38" t="s">
        <v>926</v>
      </c>
      <c r="G769" s="38" t="s">
        <v>1664</v>
      </c>
      <c r="H769" s="38" t="s">
        <v>30</v>
      </c>
      <c r="I769" s="38" t="s">
        <v>225</v>
      </c>
      <c r="J769" s="38" t="s">
        <v>34</v>
      </c>
      <c r="K769" s="39" t="s">
        <v>730</v>
      </c>
      <c r="L769" s="40"/>
    </row>
    <row r="770" spans="1:13" ht="51">
      <c r="A770" s="40">
        <v>46224</v>
      </c>
      <c r="B770" s="38">
        <f t="shared" si="13"/>
        <v>30</v>
      </c>
      <c r="C770" s="39" t="s">
        <v>1665</v>
      </c>
      <c r="D770" s="38" t="s">
        <v>713</v>
      </c>
      <c r="E770" s="38" t="s">
        <v>1266</v>
      </c>
      <c r="F770" s="38" t="s">
        <v>990</v>
      </c>
      <c r="G770" s="38" t="s">
        <v>943</v>
      </c>
      <c r="H770" s="38" t="s">
        <v>30</v>
      </c>
      <c r="I770" s="38" t="s">
        <v>225</v>
      </c>
      <c r="J770" s="38" t="s">
        <v>34</v>
      </c>
      <c r="K770" s="39" t="s">
        <v>715</v>
      </c>
      <c r="L770" s="40"/>
    </row>
    <row r="771" spans="1:13" ht="51">
      <c r="A771" s="40">
        <v>46224</v>
      </c>
      <c r="B771" s="38">
        <f t="shared" si="13"/>
        <v>30</v>
      </c>
      <c r="C771" s="39" t="s">
        <v>1666</v>
      </c>
      <c r="E771" s="38" t="s">
        <v>1278</v>
      </c>
      <c r="F771" s="38" t="s">
        <v>990</v>
      </c>
      <c r="G771" s="38" t="s">
        <v>943</v>
      </c>
      <c r="I771" s="38" t="s">
        <v>225</v>
      </c>
      <c r="J771" s="38" t="s">
        <v>34</v>
      </c>
      <c r="K771" s="39" t="s">
        <v>1667</v>
      </c>
      <c r="L771" s="40"/>
    </row>
    <row r="772" spans="1:13" ht="51">
      <c r="A772" s="40">
        <v>46224</v>
      </c>
      <c r="B772" s="38">
        <f t="shared" si="13"/>
        <v>30</v>
      </c>
      <c r="C772" s="39" t="s">
        <v>1380</v>
      </c>
      <c r="E772" s="38" t="s">
        <v>1278</v>
      </c>
      <c r="F772" s="38" t="s">
        <v>990</v>
      </c>
      <c r="G772" s="38" t="s">
        <v>943</v>
      </c>
      <c r="I772" s="38" t="s">
        <v>225</v>
      </c>
      <c r="J772" s="38" t="s">
        <v>34</v>
      </c>
      <c r="K772" s="39" t="s">
        <v>1668</v>
      </c>
      <c r="L772" s="40"/>
    </row>
    <row r="773" spans="1:13" ht="38.25">
      <c r="A773" s="40">
        <v>46224</v>
      </c>
      <c r="B773" s="38">
        <f t="shared" si="13"/>
        <v>30</v>
      </c>
      <c r="C773" s="39" t="s">
        <v>1669</v>
      </c>
      <c r="E773" s="38" t="s">
        <v>1280</v>
      </c>
      <c r="F773" s="38" t="s">
        <v>990</v>
      </c>
      <c r="G773" s="38" t="s">
        <v>943</v>
      </c>
      <c r="I773" s="38" t="s">
        <v>225</v>
      </c>
      <c r="J773" s="38" t="s">
        <v>34</v>
      </c>
      <c r="K773" s="39" t="s">
        <v>1670</v>
      </c>
      <c r="L773" s="40"/>
    </row>
    <row r="774" spans="1:13" ht="38.25">
      <c r="A774" s="40">
        <v>46224</v>
      </c>
      <c r="B774" s="38">
        <f t="shared" si="13"/>
        <v>30</v>
      </c>
      <c r="E774" s="38" t="s">
        <v>1269</v>
      </c>
      <c r="F774" s="38" t="s">
        <v>961</v>
      </c>
      <c r="K774" s="39" t="s">
        <v>1671</v>
      </c>
      <c r="L774" s="40"/>
    </row>
    <row r="775" spans="1:13">
      <c r="A775" s="58">
        <v>46224</v>
      </c>
      <c r="B775" s="59">
        <f t="shared" si="13"/>
        <v>30</v>
      </c>
      <c r="C775" s="60"/>
      <c r="D775" s="59"/>
      <c r="E775" s="59"/>
      <c r="F775" s="59"/>
      <c r="G775" s="59"/>
      <c r="H775" s="59"/>
      <c r="I775" s="59"/>
      <c r="J775" s="59"/>
      <c r="K775" s="60"/>
      <c r="L775" s="58"/>
    </row>
    <row r="776" spans="1:13" ht="25.5">
      <c r="A776" s="40">
        <v>46228</v>
      </c>
      <c r="B776" s="38">
        <f t="shared" si="13"/>
        <v>30</v>
      </c>
      <c r="C776" s="39" t="s">
        <v>1271</v>
      </c>
      <c r="E776" s="38" t="s">
        <v>1260</v>
      </c>
      <c r="F776" s="259" t="s">
        <v>915</v>
      </c>
      <c r="G776" s="38" t="s">
        <v>1264</v>
      </c>
      <c r="H776" s="288"/>
      <c r="I776" s="220" t="s">
        <v>225</v>
      </c>
      <c r="J776" s="220"/>
      <c r="K776" s="39" t="s">
        <v>1272</v>
      </c>
      <c r="L776" s="40"/>
    </row>
    <row r="777" spans="1:13" ht="25.5">
      <c r="A777" s="40">
        <v>46228</v>
      </c>
      <c r="B777" s="38">
        <f t="shared" si="13"/>
        <v>30</v>
      </c>
      <c r="C777" s="39" t="s">
        <v>1283</v>
      </c>
      <c r="E777" s="38" t="s">
        <v>1284</v>
      </c>
      <c r="F777" s="259" t="s">
        <v>990</v>
      </c>
      <c r="G777" s="38" t="s">
        <v>943</v>
      </c>
      <c r="H777" s="288"/>
      <c r="I777" s="220" t="s">
        <v>225</v>
      </c>
      <c r="J777" s="220" t="s">
        <v>31</v>
      </c>
      <c r="K777" s="39" t="s">
        <v>1672</v>
      </c>
      <c r="L777" s="40"/>
    </row>
    <row r="778" spans="1:13" ht="76.5">
      <c r="A778" s="40">
        <v>46228</v>
      </c>
      <c r="B778" s="38">
        <f t="shared" si="13"/>
        <v>30</v>
      </c>
      <c r="C778" s="39" t="s">
        <v>1292</v>
      </c>
      <c r="E778" s="38" t="s">
        <v>1278</v>
      </c>
      <c r="F778" s="275" t="s">
        <v>990</v>
      </c>
      <c r="H778" s="288"/>
      <c r="I778" s="220" t="s">
        <v>225</v>
      </c>
      <c r="J778" s="220" t="s">
        <v>31</v>
      </c>
      <c r="K778" s="39" t="s">
        <v>1673</v>
      </c>
      <c r="L778" s="40"/>
    </row>
    <row r="779" spans="1:13" ht="38.25">
      <c r="A779" s="40">
        <v>46228</v>
      </c>
      <c r="B779" s="38">
        <f t="shared" si="13"/>
        <v>30</v>
      </c>
      <c r="C779" s="39" t="s">
        <v>1286</v>
      </c>
      <c r="E779" s="38" t="s">
        <v>1278</v>
      </c>
      <c r="F779" s="259" t="s">
        <v>990</v>
      </c>
      <c r="H779" s="288"/>
      <c r="I779" s="220" t="s">
        <v>225</v>
      </c>
      <c r="J779" s="220" t="s">
        <v>31</v>
      </c>
      <c r="K779" s="39" t="s">
        <v>1674</v>
      </c>
      <c r="L779" s="40"/>
    </row>
    <row r="780" spans="1:13" ht="53.25" customHeight="1">
      <c r="A780" s="40">
        <v>46228</v>
      </c>
      <c r="B780" s="38">
        <f t="shared" si="13"/>
        <v>30</v>
      </c>
      <c r="C780" s="39" t="s">
        <v>1675</v>
      </c>
      <c r="D780" s="38" t="s">
        <v>731</v>
      </c>
      <c r="E780" s="38" t="s">
        <v>1280</v>
      </c>
      <c r="F780" s="259" t="s">
        <v>990</v>
      </c>
      <c r="G780" s="38" t="s">
        <v>943</v>
      </c>
      <c r="H780" s="288" t="s">
        <v>30</v>
      </c>
      <c r="I780" s="220" t="s">
        <v>225</v>
      </c>
      <c r="J780" s="220" t="s">
        <v>31</v>
      </c>
      <c r="K780" s="39" t="s">
        <v>733</v>
      </c>
      <c r="L780" s="40"/>
    </row>
    <row r="781" spans="1:13" ht="86.25" customHeight="1">
      <c r="A781" s="40">
        <v>46228</v>
      </c>
      <c r="B781" s="38">
        <f t="shared" si="13"/>
        <v>30</v>
      </c>
      <c r="C781" s="39" t="s">
        <v>1676</v>
      </c>
      <c r="D781" s="38" t="s">
        <v>734</v>
      </c>
      <c r="E781" s="38" t="s">
        <v>1280</v>
      </c>
      <c r="F781" s="259" t="s">
        <v>990</v>
      </c>
      <c r="G781" s="38" t="s">
        <v>943</v>
      </c>
      <c r="H781" s="288" t="s">
        <v>30</v>
      </c>
      <c r="I781" s="220" t="s">
        <v>225</v>
      </c>
      <c r="J781" s="220" t="s">
        <v>31</v>
      </c>
      <c r="K781" s="39" t="s">
        <v>736</v>
      </c>
      <c r="L781" s="40"/>
    </row>
    <row r="782" spans="1:13" ht="14.25">
      <c r="A782" s="40">
        <v>46228</v>
      </c>
      <c r="B782" s="38">
        <f t="shared" si="13"/>
        <v>30</v>
      </c>
      <c r="E782" s="38" t="s">
        <v>1269</v>
      </c>
      <c r="F782" s="275" t="s">
        <v>961</v>
      </c>
      <c r="H782" s="288"/>
      <c r="I782" s="220"/>
      <c r="J782" s="220"/>
      <c r="K782" s="39" t="s">
        <v>1282</v>
      </c>
      <c r="L782" s="40"/>
    </row>
    <row r="783" spans="1:13" s="59" customFormat="1">
      <c r="A783" s="58"/>
      <c r="B783" s="59">
        <f t="shared" si="13"/>
        <v>0</v>
      </c>
      <c r="C783" s="60"/>
      <c r="K783" s="60"/>
      <c r="L783" s="58"/>
      <c r="M783" s="60"/>
    </row>
    <row r="784" spans="1:13" ht="38.25">
      <c r="A784" s="40">
        <v>46229</v>
      </c>
      <c r="B784" s="38">
        <f t="shared" si="13"/>
        <v>31</v>
      </c>
      <c r="C784" s="39" t="s">
        <v>1677</v>
      </c>
      <c r="D784" s="38" t="s">
        <v>64</v>
      </c>
      <c r="E784" s="38" t="s">
        <v>1260</v>
      </c>
      <c r="F784" s="38" t="s">
        <v>915</v>
      </c>
      <c r="G784" s="38" t="s">
        <v>916</v>
      </c>
      <c r="H784" s="38" t="s">
        <v>30</v>
      </c>
      <c r="I784" s="38" t="s">
        <v>225</v>
      </c>
      <c r="J784" s="38" t="s">
        <v>34</v>
      </c>
      <c r="K784" s="39" t="s">
        <v>1678</v>
      </c>
      <c r="L784" s="40"/>
    </row>
    <row r="785" spans="1:12" ht="25.5">
      <c r="A785" s="40">
        <v>46229</v>
      </c>
      <c r="B785" s="38">
        <f t="shared" si="13"/>
        <v>31</v>
      </c>
      <c r="C785" s="39" t="s">
        <v>1634</v>
      </c>
      <c r="D785" s="38" t="s">
        <v>253</v>
      </c>
      <c r="E785" s="38" t="s">
        <v>1263</v>
      </c>
      <c r="F785" s="38" t="s">
        <v>915</v>
      </c>
      <c r="G785" s="38" t="s">
        <v>916</v>
      </c>
      <c r="H785" s="38" t="s">
        <v>30</v>
      </c>
      <c r="I785" s="38" t="s">
        <v>32</v>
      </c>
      <c r="J785" s="38" t="s">
        <v>34</v>
      </c>
      <c r="K785" s="39" t="s">
        <v>1679</v>
      </c>
      <c r="L785" s="40"/>
    </row>
    <row r="786" spans="1:12" ht="51">
      <c r="A786" s="40">
        <v>46229</v>
      </c>
      <c r="B786" s="38">
        <f t="shared" si="13"/>
        <v>31</v>
      </c>
      <c r="C786" s="39" t="s">
        <v>1636</v>
      </c>
      <c r="D786" s="38" t="s">
        <v>719</v>
      </c>
      <c r="E786" s="38" t="s">
        <v>1263</v>
      </c>
      <c r="F786" s="38" t="s">
        <v>915</v>
      </c>
      <c r="G786" s="38" t="s">
        <v>916</v>
      </c>
      <c r="H786" s="38" t="s">
        <v>30</v>
      </c>
      <c r="I786" s="38" t="s">
        <v>32</v>
      </c>
      <c r="J786" s="38" t="s">
        <v>31</v>
      </c>
      <c r="K786" s="39" t="s">
        <v>1680</v>
      </c>
      <c r="L786" s="40"/>
    </row>
    <row r="787" spans="1:12" ht="38.25">
      <c r="A787" s="40">
        <v>46229</v>
      </c>
      <c r="B787" s="38">
        <f t="shared" si="13"/>
        <v>31</v>
      </c>
      <c r="C787" s="39" t="s">
        <v>737</v>
      </c>
      <c r="D787" s="38" t="s">
        <v>449</v>
      </c>
      <c r="E787" s="38" t="s">
        <v>1296</v>
      </c>
      <c r="F787" s="38" t="s">
        <v>915</v>
      </c>
      <c r="G787" s="38" t="s">
        <v>916</v>
      </c>
      <c r="H787" s="38" t="s">
        <v>30</v>
      </c>
      <c r="I787" s="38" t="s">
        <v>32</v>
      </c>
      <c r="J787" s="38" t="s">
        <v>34</v>
      </c>
      <c r="K787" s="39" t="s">
        <v>1681</v>
      </c>
      <c r="L787" s="40"/>
    </row>
    <row r="788" spans="1:12" ht="140.25">
      <c r="A788" s="40">
        <v>46229</v>
      </c>
      <c r="B788" s="38">
        <f t="shared" si="13"/>
        <v>31</v>
      </c>
      <c r="C788" s="39" t="s">
        <v>1677</v>
      </c>
      <c r="D788" s="38" t="s">
        <v>64</v>
      </c>
      <c r="E788" s="38" t="s">
        <v>1284</v>
      </c>
      <c r="F788" s="38" t="s">
        <v>926</v>
      </c>
      <c r="G788" s="38" t="s">
        <v>916</v>
      </c>
      <c r="H788" s="38" t="s">
        <v>30</v>
      </c>
      <c r="I788" s="38" t="s">
        <v>225</v>
      </c>
      <c r="J788" s="38" t="s">
        <v>34</v>
      </c>
      <c r="K788" s="39" t="s">
        <v>1682</v>
      </c>
      <c r="L788" s="40"/>
    </row>
    <row r="789" spans="1:12" ht="38.25">
      <c r="A789" s="40">
        <v>46229</v>
      </c>
      <c r="B789" s="38">
        <f t="shared" si="13"/>
        <v>31</v>
      </c>
      <c r="E789" s="38" t="s">
        <v>1280</v>
      </c>
      <c r="F789" s="38" t="s">
        <v>990</v>
      </c>
      <c r="G789" s="38" t="s">
        <v>916</v>
      </c>
      <c r="I789" s="38" t="s">
        <v>32</v>
      </c>
      <c r="J789" s="38" t="s">
        <v>34</v>
      </c>
      <c r="K789" s="39" t="s">
        <v>1683</v>
      </c>
      <c r="L789" s="40"/>
    </row>
    <row r="790" spans="1:12" ht="25.5">
      <c r="A790" s="40">
        <v>46229</v>
      </c>
      <c r="B790" s="38">
        <f t="shared" si="13"/>
        <v>31</v>
      </c>
      <c r="F790" s="38" t="s">
        <v>961</v>
      </c>
      <c r="K790" s="39" t="s">
        <v>1684</v>
      </c>
      <c r="L790" s="40"/>
    </row>
    <row r="791" spans="1:12">
      <c r="A791" s="58"/>
      <c r="B791" s="59">
        <f t="shared" si="13"/>
        <v>0</v>
      </c>
      <c r="C791" s="60"/>
      <c r="D791" s="59"/>
      <c r="E791" s="59"/>
      <c r="F791" s="59"/>
      <c r="G791" s="59"/>
      <c r="H791" s="59"/>
      <c r="I791" s="59"/>
      <c r="J791" s="59"/>
      <c r="K791" s="60"/>
      <c r="L791" s="58"/>
    </row>
    <row r="792" spans="1:12" ht="25.5">
      <c r="A792" s="40">
        <v>46230</v>
      </c>
      <c r="B792" s="38">
        <f t="shared" si="13"/>
        <v>31</v>
      </c>
      <c r="C792" s="39" t="s">
        <v>1636</v>
      </c>
      <c r="D792" s="38" t="s">
        <v>719</v>
      </c>
      <c r="E792" s="38" t="s">
        <v>1260</v>
      </c>
      <c r="F792" s="38" t="s">
        <v>915</v>
      </c>
      <c r="G792" s="38" t="s">
        <v>916</v>
      </c>
      <c r="H792" s="38" t="s">
        <v>30</v>
      </c>
      <c r="I792" s="38" t="s">
        <v>32</v>
      </c>
      <c r="J792" s="38" t="s">
        <v>31</v>
      </c>
      <c r="K792" s="39" t="s">
        <v>1685</v>
      </c>
      <c r="L792" s="40"/>
    </row>
    <row r="793" spans="1:12" ht="38.25">
      <c r="A793" s="40">
        <v>46230</v>
      </c>
      <c r="B793" s="38">
        <f t="shared" ref="B793:B857" si="14">WEEKNUM(A793)</f>
        <v>31</v>
      </c>
      <c r="D793" s="38" t="s">
        <v>543</v>
      </c>
      <c r="E793" s="38" t="s">
        <v>1260</v>
      </c>
      <c r="F793" s="38" t="s">
        <v>915</v>
      </c>
      <c r="G793" s="38" t="s">
        <v>916</v>
      </c>
      <c r="K793" s="39" t="s">
        <v>1686</v>
      </c>
      <c r="L793" s="40"/>
    </row>
    <row r="794" spans="1:12" ht="76.5">
      <c r="A794" s="40">
        <v>46230</v>
      </c>
      <c r="B794" s="38">
        <f t="shared" si="14"/>
        <v>31</v>
      </c>
      <c r="C794" s="39" t="s">
        <v>1687</v>
      </c>
      <c r="D794" s="38" t="s">
        <v>734</v>
      </c>
      <c r="E794" s="38" t="s">
        <v>1263</v>
      </c>
      <c r="F794" s="38" t="s">
        <v>915</v>
      </c>
      <c r="G794" s="38" t="s">
        <v>916</v>
      </c>
      <c r="H794" s="38" t="s">
        <v>30</v>
      </c>
      <c r="I794" s="38" t="s">
        <v>225</v>
      </c>
      <c r="J794" s="38" t="s">
        <v>31</v>
      </c>
      <c r="K794" s="39" t="s">
        <v>1688</v>
      </c>
      <c r="L794" s="40"/>
    </row>
    <row r="795" spans="1:12" ht="51">
      <c r="A795" s="40">
        <v>46230</v>
      </c>
      <c r="B795" s="38">
        <f t="shared" si="14"/>
        <v>31</v>
      </c>
      <c r="C795" s="308" t="s">
        <v>1273</v>
      </c>
      <c r="E795" s="38" t="s">
        <v>1296</v>
      </c>
      <c r="F795" s="38" t="s">
        <v>990</v>
      </c>
      <c r="G795" s="38" t="s">
        <v>943</v>
      </c>
      <c r="H795" s="38" t="s">
        <v>30</v>
      </c>
      <c r="I795" s="38" t="s">
        <v>225</v>
      </c>
      <c r="J795" s="38" t="s">
        <v>34</v>
      </c>
      <c r="K795" s="39" t="s">
        <v>1689</v>
      </c>
      <c r="L795" s="40"/>
    </row>
    <row r="796" spans="1:12">
      <c r="A796" s="40">
        <v>46230</v>
      </c>
      <c r="B796" s="38">
        <f t="shared" si="14"/>
        <v>31</v>
      </c>
      <c r="C796" s="39" t="s">
        <v>1277</v>
      </c>
      <c r="E796" s="38" t="s">
        <v>1284</v>
      </c>
      <c r="F796" s="38" t="s">
        <v>990</v>
      </c>
      <c r="G796" s="38" t="s">
        <v>943</v>
      </c>
      <c r="H796" s="38" t="s">
        <v>30</v>
      </c>
      <c r="I796" s="38" t="s">
        <v>225</v>
      </c>
      <c r="J796" s="38" t="s">
        <v>34</v>
      </c>
      <c r="K796" s="39" t="s">
        <v>466</v>
      </c>
      <c r="L796" s="40"/>
    </row>
    <row r="797" spans="1:12" ht="25.5">
      <c r="A797" s="40">
        <v>46230</v>
      </c>
      <c r="B797" s="38">
        <f t="shared" si="14"/>
        <v>31</v>
      </c>
      <c r="C797" s="39" t="s">
        <v>744</v>
      </c>
      <c r="D797" s="38" t="s">
        <v>743</v>
      </c>
      <c r="E797" s="38" t="s">
        <v>1266</v>
      </c>
      <c r="F797" s="38" t="s">
        <v>990</v>
      </c>
      <c r="G797" s="38" t="s">
        <v>943</v>
      </c>
      <c r="H797" s="38" t="s">
        <v>30</v>
      </c>
      <c r="I797" s="38" t="s">
        <v>225</v>
      </c>
      <c r="J797" s="38" t="s">
        <v>34</v>
      </c>
      <c r="K797" s="39" t="s">
        <v>1690</v>
      </c>
      <c r="L797" s="40"/>
    </row>
    <row r="798" spans="1:12" ht="51">
      <c r="A798" s="40">
        <v>46230</v>
      </c>
      <c r="B798" s="38">
        <f t="shared" si="14"/>
        <v>31</v>
      </c>
      <c r="C798" s="309" t="s">
        <v>1691</v>
      </c>
      <c r="D798" s="310" t="s">
        <v>741</v>
      </c>
      <c r="E798" s="38" t="s">
        <v>1266</v>
      </c>
      <c r="F798" s="38" t="s">
        <v>990</v>
      </c>
      <c r="G798" s="38" t="s">
        <v>943</v>
      </c>
      <c r="H798" s="38" t="s">
        <v>30</v>
      </c>
      <c r="I798" s="38" t="s">
        <v>225</v>
      </c>
      <c r="J798" s="38" t="s">
        <v>34</v>
      </c>
      <c r="K798" s="39" t="s">
        <v>1692</v>
      </c>
      <c r="L798" s="40"/>
    </row>
    <row r="799" spans="1:12" ht="63" customHeight="1">
      <c r="A799" s="40">
        <v>46230</v>
      </c>
      <c r="B799" s="38">
        <f t="shared" si="14"/>
        <v>31</v>
      </c>
      <c r="C799" s="309" t="s">
        <v>1693</v>
      </c>
      <c r="D799" s="310" t="s">
        <v>259</v>
      </c>
      <c r="E799" s="38" t="s">
        <v>1278</v>
      </c>
      <c r="F799" s="38" t="s">
        <v>990</v>
      </c>
      <c r="G799" s="38" t="s">
        <v>943</v>
      </c>
      <c r="H799" s="38" t="s">
        <v>30</v>
      </c>
      <c r="I799" s="38" t="s">
        <v>225</v>
      </c>
      <c r="J799" s="38" t="s">
        <v>34</v>
      </c>
      <c r="K799" s="39" t="s">
        <v>1694</v>
      </c>
      <c r="L799" s="40"/>
    </row>
    <row r="800" spans="1:12" ht="25.5">
      <c r="A800" s="40">
        <v>46230</v>
      </c>
      <c r="B800" s="38">
        <f t="shared" si="14"/>
        <v>31</v>
      </c>
      <c r="E800" s="38" t="s">
        <v>1269</v>
      </c>
      <c r="F800" s="38" t="s">
        <v>961</v>
      </c>
      <c r="K800" s="39" t="s">
        <v>1695</v>
      </c>
      <c r="L800" s="40"/>
    </row>
    <row r="801" spans="1:12">
      <c r="A801" s="58">
        <v>46230</v>
      </c>
      <c r="B801" s="59">
        <f t="shared" si="14"/>
        <v>31</v>
      </c>
      <c r="C801" s="60"/>
      <c r="D801" s="59"/>
      <c r="E801" s="59"/>
      <c r="F801" s="59"/>
      <c r="G801" s="59"/>
      <c r="H801" s="59"/>
      <c r="I801" s="59"/>
      <c r="J801" s="59"/>
      <c r="K801" s="60"/>
      <c r="L801" s="58"/>
    </row>
    <row r="802" spans="1:12" ht="51">
      <c r="A802" s="286">
        <v>46235</v>
      </c>
      <c r="B802" s="38">
        <f t="shared" si="14"/>
        <v>31</v>
      </c>
      <c r="C802" s="39" t="s">
        <v>1301</v>
      </c>
      <c r="D802" s="38" t="s">
        <v>746</v>
      </c>
      <c r="E802" s="38" t="s">
        <v>1260</v>
      </c>
      <c r="F802" s="38" t="s">
        <v>990</v>
      </c>
      <c r="G802" s="38" t="s">
        <v>943</v>
      </c>
      <c r="I802" s="38" t="s">
        <v>225</v>
      </c>
      <c r="J802" s="38" t="s">
        <v>34</v>
      </c>
      <c r="K802" s="39" t="s">
        <v>1696</v>
      </c>
      <c r="L802" s="40"/>
    </row>
    <row r="803" spans="1:12" ht="25.5">
      <c r="A803" s="286">
        <v>46235</v>
      </c>
      <c r="B803" s="38">
        <f t="shared" si="14"/>
        <v>31</v>
      </c>
      <c r="C803" s="39" t="s">
        <v>277</v>
      </c>
      <c r="E803" s="38" t="s">
        <v>1263</v>
      </c>
      <c r="F803" s="38" t="s">
        <v>990</v>
      </c>
      <c r="G803" s="38" t="s">
        <v>943</v>
      </c>
      <c r="I803" s="38" t="s">
        <v>225</v>
      </c>
      <c r="J803" s="38" t="s">
        <v>34</v>
      </c>
      <c r="K803" s="39" t="s">
        <v>1697</v>
      </c>
      <c r="L803" s="40"/>
    </row>
    <row r="804" spans="1:12" ht="38.25">
      <c r="A804" s="286">
        <v>46235</v>
      </c>
      <c r="B804" s="38">
        <f t="shared" si="14"/>
        <v>31</v>
      </c>
      <c r="C804" s="39" t="s">
        <v>1698</v>
      </c>
      <c r="E804" s="38" t="s">
        <v>1296</v>
      </c>
      <c r="F804" s="38" t="s">
        <v>990</v>
      </c>
      <c r="G804" s="38" t="s">
        <v>943</v>
      </c>
      <c r="I804" s="38" t="s">
        <v>225</v>
      </c>
      <c r="J804" s="38" t="s">
        <v>34</v>
      </c>
      <c r="K804" s="39" t="s">
        <v>1699</v>
      </c>
      <c r="L804" s="40"/>
    </row>
    <row r="805" spans="1:12" ht="38.25">
      <c r="A805" s="286">
        <v>46235</v>
      </c>
      <c r="B805" s="38">
        <f t="shared" si="14"/>
        <v>31</v>
      </c>
      <c r="C805" s="39" t="s">
        <v>1272</v>
      </c>
      <c r="D805" s="38" t="s">
        <v>749</v>
      </c>
      <c r="E805" s="38" t="s">
        <v>1278</v>
      </c>
      <c r="F805" s="38" t="s">
        <v>915</v>
      </c>
      <c r="G805" s="38" t="s">
        <v>991</v>
      </c>
      <c r="I805" s="38" t="s">
        <v>225</v>
      </c>
      <c r="K805" s="39" t="s">
        <v>1700</v>
      </c>
      <c r="L805" s="40"/>
    </row>
    <row r="806" spans="1:12">
      <c r="A806" s="286">
        <v>46235</v>
      </c>
      <c r="B806" s="38">
        <f t="shared" si="14"/>
        <v>31</v>
      </c>
      <c r="E806" s="38" t="s">
        <v>1269</v>
      </c>
      <c r="F806" s="38" t="s">
        <v>961</v>
      </c>
      <c r="K806" s="39" t="s">
        <v>1701</v>
      </c>
      <c r="L806" s="40"/>
    </row>
    <row r="807" spans="1:12">
      <c r="A807" s="58"/>
      <c r="B807" s="59">
        <f t="shared" si="14"/>
        <v>0</v>
      </c>
      <c r="C807" s="60"/>
      <c r="D807" s="59"/>
      <c r="E807" s="59"/>
      <c r="F807" s="59"/>
      <c r="G807" s="59"/>
      <c r="H807" s="59"/>
      <c r="I807" s="59"/>
      <c r="J807" s="59"/>
      <c r="K807" s="60"/>
      <c r="L807" s="58"/>
    </row>
    <row r="808" spans="1:12" ht="25.5">
      <c r="A808" s="40">
        <v>46236</v>
      </c>
      <c r="B808" s="38">
        <f t="shared" si="14"/>
        <v>32</v>
      </c>
      <c r="C808" s="39" t="s">
        <v>262</v>
      </c>
      <c r="E808" s="38" t="s">
        <v>1260</v>
      </c>
      <c r="F808" s="38" t="s">
        <v>990</v>
      </c>
      <c r="G808" s="38" t="s">
        <v>943</v>
      </c>
      <c r="I808" s="38" t="s">
        <v>225</v>
      </c>
      <c r="J808" s="38" t="s">
        <v>34</v>
      </c>
      <c r="L808" s="40"/>
    </row>
    <row r="809" spans="1:12" ht="59.25" customHeight="1">
      <c r="A809" s="40">
        <v>46236</v>
      </c>
      <c r="B809" s="38">
        <f t="shared" si="14"/>
        <v>32</v>
      </c>
      <c r="C809" s="39" t="s">
        <v>1702</v>
      </c>
      <c r="E809" s="38" t="s">
        <v>1263</v>
      </c>
      <c r="F809" s="38" t="s">
        <v>990</v>
      </c>
      <c r="G809" s="38" t="s">
        <v>943</v>
      </c>
      <c r="I809" s="38" t="s">
        <v>225</v>
      </c>
      <c r="J809" s="38" t="s">
        <v>34</v>
      </c>
      <c r="L809" s="40"/>
    </row>
    <row r="810" spans="1:12" ht="85.5" customHeight="1">
      <c r="A810" s="40">
        <v>46236</v>
      </c>
      <c r="B810" s="38">
        <f t="shared" si="14"/>
        <v>32</v>
      </c>
      <c r="C810" s="39" t="s">
        <v>1313</v>
      </c>
      <c r="E810" s="38" t="s">
        <v>1296</v>
      </c>
      <c r="F810" s="38" t="s">
        <v>990</v>
      </c>
      <c r="G810" s="38" t="s">
        <v>943</v>
      </c>
      <c r="I810" s="38" t="s">
        <v>225</v>
      </c>
      <c r="J810" s="38" t="s">
        <v>34</v>
      </c>
      <c r="K810" s="39" t="s">
        <v>1703</v>
      </c>
      <c r="L810" s="40"/>
    </row>
    <row r="811" spans="1:12" ht="25.5">
      <c r="A811" s="40">
        <v>46236</v>
      </c>
      <c r="B811" s="38">
        <f t="shared" si="14"/>
        <v>32</v>
      </c>
      <c r="C811" s="39" t="s">
        <v>1704</v>
      </c>
      <c r="E811" s="38" t="s">
        <v>1284</v>
      </c>
      <c r="F811" s="38" t="s">
        <v>990</v>
      </c>
      <c r="G811" s="38" t="s">
        <v>943</v>
      </c>
      <c r="I811" s="38" t="s">
        <v>225</v>
      </c>
      <c r="J811" s="38" t="s">
        <v>34</v>
      </c>
      <c r="K811" s="39" t="s">
        <v>1705</v>
      </c>
      <c r="L811" s="40"/>
    </row>
    <row r="812" spans="1:12" ht="51">
      <c r="A812" s="40">
        <v>46236</v>
      </c>
      <c r="B812" s="38">
        <f t="shared" si="14"/>
        <v>32</v>
      </c>
      <c r="C812" s="39" t="s">
        <v>1706</v>
      </c>
      <c r="E812" s="38" t="s">
        <v>1266</v>
      </c>
      <c r="F812" s="38" t="s">
        <v>990</v>
      </c>
      <c r="G812" s="38" t="s">
        <v>943</v>
      </c>
      <c r="I812" s="38" t="s">
        <v>225</v>
      </c>
      <c r="J812" s="38" t="s">
        <v>34</v>
      </c>
      <c r="K812" s="39" t="s">
        <v>1707</v>
      </c>
      <c r="L812" s="40"/>
    </row>
    <row r="813" spans="1:12" ht="38.25">
      <c r="A813" s="40">
        <v>46236</v>
      </c>
      <c r="B813" s="38">
        <f t="shared" si="14"/>
        <v>32</v>
      </c>
      <c r="C813" s="39" t="s">
        <v>1708</v>
      </c>
      <c r="E813" s="38" t="s">
        <v>1266</v>
      </c>
      <c r="F813" s="38" t="s">
        <v>990</v>
      </c>
      <c r="K813" s="39" t="s">
        <v>1709</v>
      </c>
      <c r="L813" s="40"/>
    </row>
    <row r="814" spans="1:12">
      <c r="A814" s="40">
        <v>46236</v>
      </c>
      <c r="B814" s="38">
        <f t="shared" si="14"/>
        <v>32</v>
      </c>
      <c r="C814" s="39" t="s">
        <v>1272</v>
      </c>
      <c r="E814" s="38" t="s">
        <v>1278</v>
      </c>
      <c r="F814" s="38" t="s">
        <v>915</v>
      </c>
      <c r="G814" s="38" t="s">
        <v>991</v>
      </c>
      <c r="I814" s="38" t="s">
        <v>225</v>
      </c>
      <c r="K814" s="39" t="s">
        <v>1272</v>
      </c>
      <c r="L814" s="40"/>
    </row>
    <row r="815" spans="1:12">
      <c r="A815" s="40">
        <v>46236</v>
      </c>
      <c r="B815" s="38">
        <f t="shared" si="14"/>
        <v>32</v>
      </c>
      <c r="E815" s="38" t="s">
        <v>1269</v>
      </c>
      <c r="F815" s="38" t="s">
        <v>961</v>
      </c>
      <c r="K815" s="39" t="s">
        <v>1282</v>
      </c>
      <c r="L815" s="40"/>
    </row>
    <row r="816" spans="1:12">
      <c r="A816" s="58">
        <v>46236</v>
      </c>
      <c r="B816" s="59">
        <f t="shared" si="14"/>
        <v>32</v>
      </c>
      <c r="C816" s="60"/>
      <c r="D816" s="59"/>
      <c r="E816" s="59"/>
      <c r="F816" s="59"/>
      <c r="G816" s="59"/>
      <c r="H816" s="59"/>
      <c r="I816" s="59"/>
      <c r="J816" s="59"/>
      <c r="K816" s="60"/>
      <c r="L816" s="58"/>
    </row>
    <row r="817" spans="1:12" ht="51">
      <c r="A817" s="40">
        <v>46237</v>
      </c>
      <c r="B817" s="38">
        <f t="shared" si="14"/>
        <v>32</v>
      </c>
      <c r="C817" s="39" t="s">
        <v>1710</v>
      </c>
      <c r="D817" s="38" t="s">
        <v>757</v>
      </c>
      <c r="F817" s="38" t="s">
        <v>990</v>
      </c>
      <c r="G817" s="38" t="s">
        <v>943</v>
      </c>
      <c r="H817" s="38" t="s">
        <v>30</v>
      </c>
      <c r="I817" s="38" t="s">
        <v>225</v>
      </c>
      <c r="J817" s="38" t="s">
        <v>34</v>
      </c>
      <c r="K817" s="39" t="s">
        <v>759</v>
      </c>
      <c r="L817" s="40"/>
    </row>
    <row r="818" spans="1:12" ht="38.25">
      <c r="A818" s="40">
        <v>46237</v>
      </c>
      <c r="B818" s="38">
        <f t="shared" si="14"/>
        <v>32</v>
      </c>
      <c r="C818" s="39" t="s">
        <v>761</v>
      </c>
      <c r="D818" s="38" t="s">
        <v>760</v>
      </c>
      <c r="F818" s="38" t="s">
        <v>990</v>
      </c>
      <c r="G818" s="38" t="s">
        <v>943</v>
      </c>
      <c r="I818" s="38" t="s">
        <v>225</v>
      </c>
      <c r="J818" s="38" t="s">
        <v>34</v>
      </c>
      <c r="K818" s="39" t="s">
        <v>762</v>
      </c>
      <c r="L818" s="40"/>
    </row>
    <row r="819" spans="1:12" ht="25.5">
      <c r="A819" s="40">
        <v>46237</v>
      </c>
      <c r="B819" s="38">
        <f t="shared" si="14"/>
        <v>32</v>
      </c>
      <c r="C819" s="39" t="s">
        <v>1711</v>
      </c>
      <c r="F819" s="38" t="s">
        <v>990</v>
      </c>
      <c r="G819" s="38" t="s">
        <v>943</v>
      </c>
      <c r="I819" s="38" t="s">
        <v>225</v>
      </c>
      <c r="J819" s="38" t="s">
        <v>34</v>
      </c>
      <c r="K819" s="39" t="s">
        <v>1712</v>
      </c>
      <c r="L819" s="40">
        <v>46274</v>
      </c>
    </row>
    <row r="820" spans="1:12" ht="51">
      <c r="A820" s="40">
        <v>46237</v>
      </c>
      <c r="B820" s="38">
        <f t="shared" si="14"/>
        <v>32</v>
      </c>
      <c r="C820" s="39" t="s">
        <v>1713</v>
      </c>
      <c r="F820" s="38" t="s">
        <v>990</v>
      </c>
      <c r="G820" s="38" t="s">
        <v>943</v>
      </c>
      <c r="I820" s="38" t="s">
        <v>225</v>
      </c>
      <c r="J820" s="38" t="s">
        <v>34</v>
      </c>
      <c r="K820" s="39" t="s">
        <v>1714</v>
      </c>
      <c r="L820" s="40"/>
    </row>
    <row r="821" spans="1:12" ht="38.25">
      <c r="A821" s="40">
        <v>46237</v>
      </c>
      <c r="B821" s="38">
        <f t="shared" si="14"/>
        <v>32</v>
      </c>
      <c r="C821" s="39" t="s">
        <v>1715</v>
      </c>
      <c r="F821" s="38" t="s">
        <v>990</v>
      </c>
      <c r="G821" s="38" t="s">
        <v>943</v>
      </c>
      <c r="I821" s="38" t="s">
        <v>225</v>
      </c>
      <c r="J821" s="38" t="s">
        <v>34</v>
      </c>
      <c r="K821" s="39" t="s">
        <v>1716</v>
      </c>
      <c r="L821" s="40"/>
    </row>
    <row r="822" spans="1:12" ht="76.5">
      <c r="A822" s="40">
        <v>46237</v>
      </c>
      <c r="B822" s="38">
        <f t="shared" si="14"/>
        <v>32</v>
      </c>
      <c r="C822" s="39" t="s">
        <v>1702</v>
      </c>
      <c r="F822" s="38" t="s">
        <v>990</v>
      </c>
      <c r="G822" s="38" t="s">
        <v>943</v>
      </c>
      <c r="I822" s="38" t="s">
        <v>225</v>
      </c>
      <c r="J822" s="38" t="s">
        <v>34</v>
      </c>
      <c r="K822" s="39" t="s">
        <v>1717</v>
      </c>
      <c r="L822" s="40"/>
    </row>
    <row r="823" spans="1:12" ht="51">
      <c r="A823" s="40">
        <v>46237</v>
      </c>
      <c r="B823" s="38">
        <f t="shared" si="14"/>
        <v>32</v>
      </c>
      <c r="C823" s="39" t="s">
        <v>1718</v>
      </c>
      <c r="D823" s="38" t="s">
        <v>754</v>
      </c>
      <c r="F823" s="38" t="s">
        <v>915</v>
      </c>
      <c r="G823" s="38" t="s">
        <v>916</v>
      </c>
      <c r="H823" s="38" t="s">
        <v>33</v>
      </c>
      <c r="I823" s="38" t="s">
        <v>32</v>
      </c>
      <c r="J823" s="38" t="s">
        <v>34</v>
      </c>
      <c r="K823" s="39" t="s">
        <v>1719</v>
      </c>
      <c r="L823" s="40"/>
    </row>
    <row r="824" spans="1:12" ht="67.5" customHeight="1">
      <c r="A824" s="40">
        <v>46237</v>
      </c>
      <c r="B824" s="38">
        <f t="shared" si="14"/>
        <v>32</v>
      </c>
      <c r="C824" s="39" t="s">
        <v>1720</v>
      </c>
      <c r="D824" s="38" t="s">
        <v>719</v>
      </c>
      <c r="F824" s="38" t="s">
        <v>947</v>
      </c>
      <c r="H824" s="38" t="s">
        <v>30</v>
      </c>
      <c r="I824" s="38" t="s">
        <v>32</v>
      </c>
      <c r="J824" s="38" t="s">
        <v>31</v>
      </c>
      <c r="K824" s="39" t="s">
        <v>1721</v>
      </c>
      <c r="L824" s="40"/>
    </row>
    <row r="825" spans="1:12">
      <c r="A825" s="40">
        <v>46237</v>
      </c>
      <c r="B825" s="38">
        <f t="shared" si="14"/>
        <v>32</v>
      </c>
      <c r="C825" s="39" t="s">
        <v>961</v>
      </c>
      <c r="F825" s="38" t="s">
        <v>961</v>
      </c>
      <c r="J825" s="38" t="s">
        <v>34</v>
      </c>
      <c r="K825" s="39" t="s">
        <v>1722</v>
      </c>
      <c r="L825" s="40"/>
    </row>
    <row r="826" spans="1:12">
      <c r="A826" s="58">
        <v>46237</v>
      </c>
      <c r="B826" s="59">
        <f t="shared" si="14"/>
        <v>32</v>
      </c>
      <c r="C826" s="60"/>
      <c r="D826" s="59"/>
      <c r="E826" s="59"/>
      <c r="F826" s="59"/>
      <c r="G826" s="59"/>
      <c r="H826" s="59"/>
      <c r="I826" s="59"/>
      <c r="J826" s="59"/>
      <c r="K826" s="60"/>
      <c r="L826" s="58"/>
    </row>
    <row r="827" spans="1:12" ht="42.75" customHeight="1">
      <c r="A827" s="40">
        <v>46238</v>
      </c>
      <c r="B827" s="38">
        <f t="shared" si="14"/>
        <v>32</v>
      </c>
      <c r="C827" s="39" t="s">
        <v>1723</v>
      </c>
      <c r="D827" s="38" t="s">
        <v>763</v>
      </c>
      <c r="F827" s="38" t="s">
        <v>990</v>
      </c>
      <c r="G827" s="38" t="s">
        <v>943</v>
      </c>
      <c r="H827" s="38" t="s">
        <v>466</v>
      </c>
      <c r="I827" s="38" t="s">
        <v>225</v>
      </c>
      <c r="J827" s="38" t="s">
        <v>31</v>
      </c>
      <c r="K827" s="39" t="s">
        <v>1724</v>
      </c>
      <c r="L827" s="40">
        <v>46243</v>
      </c>
    </row>
    <row r="828" spans="1:12" ht="51">
      <c r="A828" s="40">
        <v>46238</v>
      </c>
      <c r="B828" s="38">
        <f t="shared" si="14"/>
        <v>32</v>
      </c>
      <c r="C828" s="39" t="s">
        <v>1725</v>
      </c>
      <c r="F828" s="38" t="s">
        <v>990</v>
      </c>
      <c r="G828" s="38" t="s">
        <v>943</v>
      </c>
      <c r="H828" s="38" t="s">
        <v>466</v>
      </c>
      <c r="I828" s="38" t="s">
        <v>225</v>
      </c>
      <c r="J828" s="38" t="s">
        <v>31</v>
      </c>
      <c r="K828" s="39" t="s">
        <v>1726</v>
      </c>
      <c r="L828" s="40"/>
    </row>
    <row r="829" spans="1:12" ht="63.75">
      <c r="A829" s="40">
        <v>46238</v>
      </c>
      <c r="B829" s="38">
        <f t="shared" si="14"/>
        <v>32</v>
      </c>
      <c r="C829" s="39" t="s">
        <v>1727</v>
      </c>
      <c r="D829" s="38" t="s">
        <v>765</v>
      </c>
      <c r="F829" s="38" t="s">
        <v>990</v>
      </c>
      <c r="G829" s="38" t="s">
        <v>943</v>
      </c>
      <c r="H829" s="38" t="s">
        <v>466</v>
      </c>
      <c r="I829" s="38" t="s">
        <v>225</v>
      </c>
      <c r="J829" s="38" t="s">
        <v>31</v>
      </c>
      <c r="K829" s="39" t="s">
        <v>767</v>
      </c>
      <c r="L829" s="40"/>
    </row>
    <row r="830" spans="1:12" ht="63.75">
      <c r="A830" s="40">
        <v>46238</v>
      </c>
      <c r="B830" s="38">
        <f t="shared" si="14"/>
        <v>32</v>
      </c>
      <c r="C830" s="39" t="s">
        <v>1728</v>
      </c>
      <c r="D830" s="38" t="s">
        <v>768</v>
      </c>
      <c r="F830" s="38" t="s">
        <v>990</v>
      </c>
      <c r="G830" s="38" t="s">
        <v>943</v>
      </c>
      <c r="H830" s="38" t="s">
        <v>30</v>
      </c>
      <c r="I830" s="38" t="s">
        <v>225</v>
      </c>
      <c r="J830" s="38" t="s">
        <v>31</v>
      </c>
      <c r="K830" s="39" t="s">
        <v>770</v>
      </c>
      <c r="L830" s="40">
        <v>46243</v>
      </c>
    </row>
    <row r="831" spans="1:12">
      <c r="A831" s="40">
        <v>46238</v>
      </c>
      <c r="B831" s="38">
        <f t="shared" si="14"/>
        <v>32</v>
      </c>
      <c r="C831" s="39" t="s">
        <v>1729</v>
      </c>
      <c r="F831" s="38" t="s">
        <v>990</v>
      </c>
      <c r="G831" s="38" t="s">
        <v>943</v>
      </c>
      <c r="H831" s="38" t="s">
        <v>466</v>
      </c>
      <c r="I831" s="38" t="s">
        <v>225</v>
      </c>
      <c r="J831" s="38" t="s">
        <v>31</v>
      </c>
      <c r="K831" s="39" t="s">
        <v>1730</v>
      </c>
      <c r="L831" s="40"/>
    </row>
    <row r="832" spans="1:12" ht="51">
      <c r="A832" s="40">
        <v>46238</v>
      </c>
      <c r="B832" s="38">
        <f t="shared" si="14"/>
        <v>32</v>
      </c>
      <c r="C832" s="39" t="s">
        <v>1731</v>
      </c>
      <c r="F832" s="38" t="s">
        <v>990</v>
      </c>
      <c r="G832" s="38" t="s">
        <v>943</v>
      </c>
      <c r="H832" s="38" t="s">
        <v>466</v>
      </c>
      <c r="I832" s="38" t="s">
        <v>225</v>
      </c>
      <c r="J832" s="38" t="s">
        <v>31</v>
      </c>
      <c r="K832" s="39" t="s">
        <v>1732</v>
      </c>
      <c r="L832" s="40"/>
    </row>
    <row r="833" spans="1:12" ht="63.75">
      <c r="A833" s="40">
        <v>46238</v>
      </c>
      <c r="B833" s="38">
        <f t="shared" si="14"/>
        <v>32</v>
      </c>
      <c r="C833" s="39" t="s">
        <v>1733</v>
      </c>
      <c r="F833" s="38" t="s">
        <v>990</v>
      </c>
      <c r="G833" s="38" t="s">
        <v>943</v>
      </c>
      <c r="H833" s="38" t="s">
        <v>466</v>
      </c>
      <c r="I833" s="38" t="s">
        <v>225</v>
      </c>
      <c r="J833" s="38" t="s">
        <v>31</v>
      </c>
      <c r="K833" s="39" t="s">
        <v>1734</v>
      </c>
      <c r="L833" s="40"/>
    </row>
    <row r="834" spans="1:12">
      <c r="A834" s="58">
        <v>46238</v>
      </c>
      <c r="B834" s="59">
        <f t="shared" si="14"/>
        <v>32</v>
      </c>
      <c r="C834" s="60"/>
      <c r="D834" s="59"/>
      <c r="E834" s="59"/>
      <c r="F834" s="59"/>
      <c r="G834" s="59"/>
      <c r="H834" s="59"/>
      <c r="I834" s="59"/>
      <c r="J834" s="59"/>
      <c r="K834" s="60"/>
      <c r="L834" s="58"/>
    </row>
    <row r="835" spans="1:12" ht="51">
      <c r="A835" s="40">
        <v>46242</v>
      </c>
      <c r="B835" s="38">
        <f t="shared" si="14"/>
        <v>32</v>
      </c>
      <c r="C835" s="39" t="s">
        <v>775</v>
      </c>
      <c r="D835" s="38" t="s">
        <v>774</v>
      </c>
      <c r="E835" s="38" t="s">
        <v>1260</v>
      </c>
      <c r="F835" s="38" t="s">
        <v>990</v>
      </c>
      <c r="G835" s="38" t="s">
        <v>943</v>
      </c>
      <c r="I835" s="38" t="s">
        <v>225</v>
      </c>
      <c r="J835" s="38" t="s">
        <v>34</v>
      </c>
      <c r="K835" s="39" t="s">
        <v>777</v>
      </c>
      <c r="L835" s="40"/>
    </row>
    <row r="836" spans="1:12">
      <c r="A836" s="40">
        <v>46242</v>
      </c>
      <c r="B836" s="38">
        <f t="shared" si="14"/>
        <v>32</v>
      </c>
      <c r="C836" s="39" t="s">
        <v>1735</v>
      </c>
      <c r="E836" s="38" t="s">
        <v>1263</v>
      </c>
      <c r="F836" s="38" t="s">
        <v>990</v>
      </c>
      <c r="G836" s="38" t="s">
        <v>943</v>
      </c>
      <c r="I836" s="38" t="s">
        <v>225</v>
      </c>
      <c r="J836" s="38" t="s">
        <v>34</v>
      </c>
      <c r="K836" s="39" t="s">
        <v>1736</v>
      </c>
      <c r="L836" s="40"/>
    </row>
    <row r="837" spans="1:12" ht="25.5">
      <c r="A837" s="40">
        <v>46242</v>
      </c>
      <c r="B837" s="38">
        <f t="shared" si="14"/>
        <v>32</v>
      </c>
      <c r="C837" s="39" t="s">
        <v>1737</v>
      </c>
      <c r="E837" s="38" t="s">
        <v>1296</v>
      </c>
      <c r="F837" s="38" t="s">
        <v>990</v>
      </c>
      <c r="G837" s="38" t="s">
        <v>943</v>
      </c>
      <c r="I837" s="38" t="s">
        <v>225</v>
      </c>
      <c r="J837" s="38" t="s">
        <v>34</v>
      </c>
      <c r="L837" s="40"/>
    </row>
    <row r="838" spans="1:12" hidden="1">
      <c r="A838" s="40">
        <v>46242</v>
      </c>
      <c r="B838" s="38">
        <f t="shared" si="14"/>
        <v>32</v>
      </c>
      <c r="E838" s="38" t="s">
        <v>1284</v>
      </c>
      <c r="F838" s="38" t="s">
        <v>990</v>
      </c>
      <c r="G838" s="38" t="s">
        <v>943</v>
      </c>
      <c r="I838" s="38" t="s">
        <v>225</v>
      </c>
      <c r="J838" s="38" t="s">
        <v>34</v>
      </c>
      <c r="L838" s="40"/>
    </row>
    <row r="839" spans="1:12" hidden="1">
      <c r="A839" s="40">
        <v>46242</v>
      </c>
      <c r="B839" s="38">
        <f t="shared" si="14"/>
        <v>32</v>
      </c>
      <c r="E839" s="38" t="s">
        <v>1278</v>
      </c>
      <c r="F839" s="38" t="s">
        <v>915</v>
      </c>
      <c r="G839" s="38" t="s">
        <v>991</v>
      </c>
      <c r="I839" s="38" t="s">
        <v>225</v>
      </c>
      <c r="L839" s="40"/>
    </row>
    <row r="840" spans="1:12" hidden="1">
      <c r="A840" s="40">
        <v>46242</v>
      </c>
      <c r="B840" s="38">
        <f t="shared" si="14"/>
        <v>32</v>
      </c>
      <c r="E840" s="38" t="s">
        <v>1269</v>
      </c>
      <c r="F840" s="38" t="s">
        <v>961</v>
      </c>
      <c r="L840" s="40"/>
    </row>
    <row r="841" spans="1:12" hidden="1">
      <c r="A841" s="40"/>
      <c r="B841" s="38">
        <f t="shared" si="14"/>
        <v>0</v>
      </c>
      <c r="L841" s="40"/>
    </row>
    <row r="842" spans="1:12" ht="51">
      <c r="A842" s="40">
        <v>46243</v>
      </c>
      <c r="B842" s="38">
        <f t="shared" si="14"/>
        <v>33</v>
      </c>
      <c r="C842" s="39" t="s">
        <v>1733</v>
      </c>
      <c r="D842" s="38" t="s">
        <v>784</v>
      </c>
      <c r="E842" s="38" t="s">
        <v>1260</v>
      </c>
      <c r="F842" s="38" t="s">
        <v>990</v>
      </c>
      <c r="G842" s="38" t="s">
        <v>943</v>
      </c>
      <c r="I842" s="38" t="s">
        <v>225</v>
      </c>
      <c r="J842" s="38" t="s">
        <v>31</v>
      </c>
      <c r="K842" s="39" t="s">
        <v>786</v>
      </c>
      <c r="L842" s="40"/>
    </row>
    <row r="843" spans="1:12" ht="51">
      <c r="A843" s="40">
        <v>46243</v>
      </c>
      <c r="B843" s="38">
        <f t="shared" si="14"/>
        <v>33</v>
      </c>
      <c r="C843" s="39" t="s">
        <v>1738</v>
      </c>
      <c r="D843" s="38" t="s">
        <v>789</v>
      </c>
      <c r="E843" s="38" t="s">
        <v>1263</v>
      </c>
      <c r="F843" s="38" t="s">
        <v>990</v>
      </c>
      <c r="G843" s="38" t="s">
        <v>943</v>
      </c>
      <c r="I843" s="38" t="s">
        <v>225</v>
      </c>
      <c r="J843" s="38" t="s">
        <v>31</v>
      </c>
      <c r="K843" s="39" t="s">
        <v>791</v>
      </c>
      <c r="L843" s="40"/>
    </row>
    <row r="844" spans="1:12" ht="63.75">
      <c r="A844" s="40">
        <v>46243</v>
      </c>
      <c r="B844" s="38">
        <f t="shared" si="14"/>
        <v>33</v>
      </c>
      <c r="C844" s="39" t="s">
        <v>1739</v>
      </c>
      <c r="E844" s="38" t="s">
        <v>1296</v>
      </c>
      <c r="F844" s="38" t="s">
        <v>990</v>
      </c>
      <c r="G844" s="38" t="s">
        <v>943</v>
      </c>
      <c r="I844" s="38" t="s">
        <v>225</v>
      </c>
      <c r="J844" s="38" t="s">
        <v>31</v>
      </c>
      <c r="K844" s="39" t="s">
        <v>1740</v>
      </c>
      <c r="L844" s="40"/>
    </row>
    <row r="845" spans="1:12" ht="38.25">
      <c r="A845" s="40">
        <v>46243</v>
      </c>
      <c r="B845" s="38">
        <f t="shared" si="14"/>
        <v>33</v>
      </c>
      <c r="C845" s="39" t="s">
        <v>1741</v>
      </c>
      <c r="E845" s="38" t="s">
        <v>1284</v>
      </c>
      <c r="F845" s="38" t="s">
        <v>990</v>
      </c>
      <c r="G845" s="38" t="s">
        <v>943</v>
      </c>
      <c r="I845" s="38" t="s">
        <v>225</v>
      </c>
      <c r="J845" s="38" t="s">
        <v>31</v>
      </c>
      <c r="L845" s="40"/>
    </row>
    <row r="846" spans="1:12">
      <c r="A846" s="40">
        <v>46243</v>
      </c>
      <c r="B846" s="38">
        <f t="shared" si="14"/>
        <v>33</v>
      </c>
      <c r="C846" s="39" t="s">
        <v>1742</v>
      </c>
      <c r="E846" s="38" t="s">
        <v>1278</v>
      </c>
      <c r="F846" s="38" t="s">
        <v>915</v>
      </c>
      <c r="G846" s="38" t="s">
        <v>991</v>
      </c>
      <c r="I846" s="38" t="s">
        <v>225</v>
      </c>
      <c r="L846" s="40"/>
    </row>
    <row r="847" spans="1:12" ht="38.25">
      <c r="A847" s="40">
        <v>46243</v>
      </c>
      <c r="B847" s="38">
        <f t="shared" si="14"/>
        <v>33</v>
      </c>
      <c r="C847" s="39" t="s">
        <v>1743</v>
      </c>
      <c r="E847" s="38" t="s">
        <v>1269</v>
      </c>
      <c r="F847" s="38" t="s">
        <v>915</v>
      </c>
      <c r="G847" s="38" t="s">
        <v>916</v>
      </c>
      <c r="L847" s="40"/>
    </row>
    <row r="848" spans="1:12">
      <c r="A848" s="40"/>
      <c r="B848" s="38">
        <f t="shared" si="14"/>
        <v>0</v>
      </c>
      <c r="L848" s="40"/>
    </row>
    <row r="849" spans="1:12" ht="38.25">
      <c r="A849" s="40">
        <v>46244</v>
      </c>
      <c r="B849" s="38">
        <f t="shared" si="14"/>
        <v>33</v>
      </c>
      <c r="C849" s="39" t="s">
        <v>1744</v>
      </c>
      <c r="E849" s="38" t="s">
        <v>1260</v>
      </c>
      <c r="F849" s="38" t="s">
        <v>961</v>
      </c>
      <c r="G849" s="38" t="s">
        <v>943</v>
      </c>
      <c r="I849" s="38" t="s">
        <v>225</v>
      </c>
      <c r="J849" s="38" t="s">
        <v>34</v>
      </c>
      <c r="L849" s="40"/>
    </row>
    <row r="850" spans="1:12" ht="38.25">
      <c r="A850" s="40">
        <v>46244</v>
      </c>
      <c r="B850" s="38">
        <f t="shared" si="14"/>
        <v>33</v>
      </c>
      <c r="C850" s="39" t="s">
        <v>1744</v>
      </c>
      <c r="E850" s="38" t="s">
        <v>1263</v>
      </c>
      <c r="F850" s="38" t="s">
        <v>961</v>
      </c>
      <c r="G850" s="38" t="s">
        <v>943</v>
      </c>
      <c r="I850" s="38" t="s">
        <v>225</v>
      </c>
      <c r="J850" s="38" t="s">
        <v>34</v>
      </c>
      <c r="L850" s="40"/>
    </row>
    <row r="851" spans="1:12" ht="76.5">
      <c r="A851" s="40">
        <v>46244</v>
      </c>
      <c r="B851" s="38">
        <f t="shared" si="14"/>
        <v>33</v>
      </c>
      <c r="C851" s="39" t="s">
        <v>1745</v>
      </c>
      <c r="D851" s="38" t="s">
        <v>259</v>
      </c>
      <c r="E851" s="38" t="s">
        <v>1296</v>
      </c>
      <c r="F851" s="38" t="s">
        <v>926</v>
      </c>
      <c r="G851" s="38" t="s">
        <v>943</v>
      </c>
      <c r="H851" s="38" t="s">
        <v>30</v>
      </c>
      <c r="I851" s="38" t="s">
        <v>41</v>
      </c>
      <c r="J851" s="38" t="s">
        <v>34</v>
      </c>
      <c r="K851" s="39" t="s">
        <v>1746</v>
      </c>
      <c r="L851" s="40"/>
    </row>
    <row r="852" spans="1:12" ht="89.25">
      <c r="A852" s="40">
        <v>46244</v>
      </c>
      <c r="B852" s="38">
        <f t="shared" si="14"/>
        <v>33</v>
      </c>
      <c r="C852" s="39" t="s">
        <v>1747</v>
      </c>
      <c r="D852" s="38" t="s">
        <v>741</v>
      </c>
      <c r="E852" s="38" t="s">
        <v>1284</v>
      </c>
      <c r="F852" s="38" t="s">
        <v>990</v>
      </c>
      <c r="G852" s="38" t="s">
        <v>943</v>
      </c>
      <c r="I852" s="38" t="s">
        <v>225</v>
      </c>
      <c r="J852" s="38" t="s">
        <v>34</v>
      </c>
      <c r="K852" s="39" t="s">
        <v>1748</v>
      </c>
      <c r="L852" s="40"/>
    </row>
    <row r="853" spans="1:12" ht="38.25">
      <c r="A853" s="40">
        <v>46244</v>
      </c>
      <c r="B853" s="38">
        <f t="shared" si="14"/>
        <v>33</v>
      </c>
      <c r="C853" s="39" t="s">
        <v>1749</v>
      </c>
      <c r="D853" s="38" t="s">
        <v>798</v>
      </c>
      <c r="E853" s="38" t="s">
        <v>1278</v>
      </c>
      <c r="F853" s="38" t="s">
        <v>990</v>
      </c>
      <c r="G853" s="38" t="s">
        <v>991</v>
      </c>
      <c r="I853" s="38" t="s">
        <v>225</v>
      </c>
      <c r="K853" s="39" t="s">
        <v>1750</v>
      </c>
      <c r="L853" s="40"/>
    </row>
    <row r="854" spans="1:12">
      <c r="A854" s="40">
        <v>46244</v>
      </c>
      <c r="B854" s="38">
        <f t="shared" si="14"/>
        <v>33</v>
      </c>
      <c r="E854" s="38" t="s">
        <v>1269</v>
      </c>
      <c r="F854" s="38" t="s">
        <v>961</v>
      </c>
      <c r="L854" s="40"/>
    </row>
    <row r="855" spans="1:12">
      <c r="A855" s="40"/>
      <c r="B855" s="38">
        <f t="shared" si="14"/>
        <v>0</v>
      </c>
      <c r="L855" s="40"/>
    </row>
    <row r="856" spans="1:12" ht="51">
      <c r="A856" s="40">
        <v>46245</v>
      </c>
      <c r="B856" s="38">
        <f t="shared" si="14"/>
        <v>33</v>
      </c>
      <c r="C856" s="39" t="s">
        <v>1751</v>
      </c>
      <c r="E856" s="38" t="s">
        <v>1260</v>
      </c>
      <c r="F856" s="38" t="s">
        <v>990</v>
      </c>
      <c r="G856" s="38" t="s">
        <v>943</v>
      </c>
      <c r="I856" s="38" t="s">
        <v>225</v>
      </c>
      <c r="J856" s="38" t="s">
        <v>31</v>
      </c>
      <c r="K856" s="39" t="s">
        <v>1752</v>
      </c>
      <c r="L856" s="40"/>
    </row>
    <row r="857" spans="1:12" ht="102">
      <c r="A857" s="40">
        <v>46245</v>
      </c>
      <c r="B857" s="38">
        <f t="shared" si="14"/>
        <v>33</v>
      </c>
      <c r="C857" s="39" t="s">
        <v>1753</v>
      </c>
      <c r="E857" s="38" t="s">
        <v>1284</v>
      </c>
      <c r="F857" s="38" t="s">
        <v>990</v>
      </c>
      <c r="G857" s="38" t="s">
        <v>943</v>
      </c>
      <c r="I857" s="38" t="s">
        <v>225</v>
      </c>
      <c r="J857" s="38" t="s">
        <v>31</v>
      </c>
      <c r="K857" s="39" t="s">
        <v>1754</v>
      </c>
      <c r="L857" s="40"/>
    </row>
    <row r="858" spans="1:12" ht="63.75">
      <c r="A858" s="40">
        <v>46245</v>
      </c>
      <c r="B858" s="38">
        <f t="shared" ref="B858:B905" si="15">WEEKNUM(A858)</f>
        <v>33</v>
      </c>
      <c r="C858" s="39" t="s">
        <v>804</v>
      </c>
      <c r="D858" s="38" t="s">
        <v>803</v>
      </c>
      <c r="E858" s="38" t="s">
        <v>1296</v>
      </c>
      <c r="F858" s="38" t="s">
        <v>990</v>
      </c>
      <c r="G858" s="38" t="s">
        <v>943</v>
      </c>
      <c r="I858" s="38" t="s">
        <v>225</v>
      </c>
      <c r="J858" s="38" t="s">
        <v>31</v>
      </c>
      <c r="K858" s="39" t="s">
        <v>806</v>
      </c>
      <c r="L858" s="40"/>
    </row>
    <row r="859" spans="1:12" ht="38.25">
      <c r="A859" s="40">
        <v>46245</v>
      </c>
      <c r="B859" s="38">
        <f t="shared" si="15"/>
        <v>33</v>
      </c>
      <c r="C859" s="39" t="s">
        <v>1755</v>
      </c>
      <c r="E859" s="38" t="s">
        <v>1284</v>
      </c>
      <c r="F859" s="38" t="s">
        <v>990</v>
      </c>
      <c r="G859" s="38" t="s">
        <v>943</v>
      </c>
      <c r="I859" s="38" t="s">
        <v>225</v>
      </c>
      <c r="J859" s="38" t="s">
        <v>31</v>
      </c>
      <c r="K859" s="39" t="s">
        <v>1756</v>
      </c>
      <c r="L859" s="40"/>
    </row>
    <row r="860" spans="1:12" ht="25.5">
      <c r="A860" s="40">
        <v>46245</v>
      </c>
      <c r="B860" s="38">
        <f t="shared" si="15"/>
        <v>33</v>
      </c>
      <c r="C860" s="39" t="s">
        <v>1751</v>
      </c>
      <c r="E860" s="38" t="s">
        <v>1269</v>
      </c>
      <c r="F860" s="38" t="s">
        <v>961</v>
      </c>
      <c r="L860" s="40"/>
    </row>
    <row r="861" spans="1:12" ht="25.5">
      <c r="A861" s="40">
        <v>46246</v>
      </c>
      <c r="B861" s="38">
        <f t="shared" si="15"/>
        <v>33</v>
      </c>
      <c r="C861" s="39" t="s">
        <v>1324</v>
      </c>
      <c r="E861" s="38" t="s">
        <v>1263</v>
      </c>
      <c r="F861" s="275" t="s">
        <v>961</v>
      </c>
      <c r="G861" s="38" t="s">
        <v>943</v>
      </c>
      <c r="H861" s="288"/>
      <c r="I861" s="220" t="s">
        <v>225</v>
      </c>
      <c r="J861" s="220" t="s">
        <v>34</v>
      </c>
      <c r="L861" s="40"/>
    </row>
    <row r="862" spans="1:12" ht="25.5">
      <c r="A862" s="40">
        <v>46246</v>
      </c>
      <c r="B862" s="38">
        <f t="shared" si="15"/>
        <v>33</v>
      </c>
      <c r="C862" s="39" t="s">
        <v>1324</v>
      </c>
      <c r="E862" s="38" t="s">
        <v>1296</v>
      </c>
      <c r="F862" s="259" t="s">
        <v>990</v>
      </c>
      <c r="G862" s="38" t="s">
        <v>943</v>
      </c>
      <c r="H862" s="288"/>
      <c r="I862" s="220" t="s">
        <v>225</v>
      </c>
      <c r="J862" s="220" t="s">
        <v>34</v>
      </c>
      <c r="L862" s="40"/>
    </row>
    <row r="863" spans="1:12" ht="25.5">
      <c r="A863" s="40">
        <v>46246</v>
      </c>
      <c r="B863" s="38">
        <f t="shared" si="15"/>
        <v>33</v>
      </c>
      <c r="C863" s="39" t="s">
        <v>1325</v>
      </c>
      <c r="E863" s="38" t="s">
        <v>1284</v>
      </c>
      <c r="F863" s="259" t="s">
        <v>990</v>
      </c>
      <c r="G863" s="38" t="s">
        <v>943</v>
      </c>
      <c r="H863" s="288"/>
      <c r="I863" s="220" t="s">
        <v>225</v>
      </c>
      <c r="J863" s="220" t="s">
        <v>34</v>
      </c>
      <c r="L863" s="40"/>
    </row>
    <row r="864" spans="1:12" ht="14.25">
      <c r="A864" s="40">
        <v>46246</v>
      </c>
      <c r="B864" s="38">
        <f t="shared" si="15"/>
        <v>33</v>
      </c>
      <c r="C864" s="39" t="s">
        <v>1272</v>
      </c>
      <c r="E864" s="38" t="s">
        <v>1278</v>
      </c>
      <c r="F864" s="288" t="s">
        <v>915</v>
      </c>
      <c r="G864" s="38" t="s">
        <v>991</v>
      </c>
      <c r="H864" s="288"/>
      <c r="I864" s="220" t="s">
        <v>225</v>
      </c>
      <c r="J864" s="220"/>
      <c r="L864" s="40"/>
    </row>
    <row r="865" spans="1:13" ht="14.25">
      <c r="A865" s="40">
        <v>46246</v>
      </c>
      <c r="B865" s="38">
        <f t="shared" si="15"/>
        <v>33</v>
      </c>
      <c r="C865" s="39" t="s">
        <v>1298</v>
      </c>
      <c r="E865" s="38" t="s">
        <v>1269</v>
      </c>
      <c r="F865" s="288" t="s">
        <v>947</v>
      </c>
      <c r="H865" s="288"/>
      <c r="I865" s="220"/>
      <c r="J865" s="220"/>
      <c r="L865" s="40"/>
    </row>
    <row r="866" spans="1:13">
      <c r="A866" s="58">
        <v>46246</v>
      </c>
      <c r="B866" s="59">
        <f t="shared" si="15"/>
        <v>33</v>
      </c>
      <c r="C866" s="60"/>
      <c r="D866" s="59"/>
      <c r="E866" s="59"/>
      <c r="F866" s="59"/>
      <c r="G866" s="59"/>
      <c r="H866" s="59"/>
      <c r="I866" s="59"/>
      <c r="J866" s="59"/>
      <c r="K866" s="60"/>
      <c r="L866" s="58"/>
    </row>
    <row r="867" spans="1:13">
      <c r="A867" s="40">
        <v>46247</v>
      </c>
      <c r="B867" s="38">
        <f t="shared" si="15"/>
        <v>33</v>
      </c>
      <c r="C867" s="39" t="s">
        <v>1757</v>
      </c>
      <c r="E867" s="38" t="s">
        <v>1260</v>
      </c>
      <c r="F867" s="38" t="s">
        <v>915</v>
      </c>
      <c r="G867" s="38" t="s">
        <v>1264</v>
      </c>
      <c r="I867" s="38" t="s">
        <v>225</v>
      </c>
      <c r="J867" s="38" t="s">
        <v>31</v>
      </c>
      <c r="L867" s="40"/>
    </row>
    <row r="868" spans="1:13" ht="51">
      <c r="A868" s="40">
        <v>46247</v>
      </c>
      <c r="B868" s="38">
        <f t="shared" si="15"/>
        <v>33</v>
      </c>
      <c r="C868" s="39" t="s">
        <v>271</v>
      </c>
      <c r="D868" s="38" t="s">
        <v>749</v>
      </c>
      <c r="E868" s="38" t="s">
        <v>1278</v>
      </c>
      <c r="F868" s="38" t="s">
        <v>926</v>
      </c>
      <c r="G868" s="38" t="s">
        <v>916</v>
      </c>
      <c r="I868" s="38" t="s">
        <v>225</v>
      </c>
      <c r="J868" s="38" t="s">
        <v>31</v>
      </c>
      <c r="K868" s="39" t="s">
        <v>1758</v>
      </c>
      <c r="L868" s="40"/>
    </row>
    <row r="869" spans="1:13" ht="25.5">
      <c r="A869" s="40">
        <v>46247</v>
      </c>
      <c r="B869" s="38">
        <f t="shared" si="15"/>
        <v>33</v>
      </c>
      <c r="C869" s="39" t="s">
        <v>1759</v>
      </c>
      <c r="D869" s="38" t="s">
        <v>543</v>
      </c>
      <c r="E869" s="38" t="s">
        <v>1280</v>
      </c>
      <c r="F869" s="38" t="s">
        <v>926</v>
      </c>
      <c r="G869" s="38" t="s">
        <v>916</v>
      </c>
      <c r="I869" s="38" t="s">
        <v>225</v>
      </c>
      <c r="J869" s="38" t="s">
        <v>31</v>
      </c>
      <c r="K869" s="39" t="s">
        <v>1760</v>
      </c>
      <c r="L869" s="40"/>
    </row>
    <row r="870" spans="1:13">
      <c r="A870" s="58">
        <v>46247</v>
      </c>
      <c r="B870" s="59">
        <f t="shared" si="15"/>
        <v>33</v>
      </c>
      <c r="C870" s="60"/>
      <c r="D870" s="59"/>
      <c r="E870" s="59"/>
      <c r="F870" s="59"/>
      <c r="G870" s="59"/>
      <c r="H870" s="59"/>
      <c r="I870" s="59"/>
      <c r="J870" s="59"/>
      <c r="K870" s="60"/>
      <c r="L870" s="58"/>
    </row>
    <row r="871" spans="1:13" ht="38.25">
      <c r="A871" s="40">
        <v>46249</v>
      </c>
      <c r="B871" s="38">
        <f t="shared" si="15"/>
        <v>33</v>
      </c>
      <c r="C871" s="39" t="s">
        <v>1326</v>
      </c>
      <c r="E871" s="38" t="s">
        <v>1260</v>
      </c>
      <c r="F871" s="38" t="s">
        <v>990</v>
      </c>
      <c r="G871" s="38" t="s">
        <v>943</v>
      </c>
      <c r="I871" s="38" t="s">
        <v>225</v>
      </c>
      <c r="J871" s="38" t="s">
        <v>34</v>
      </c>
      <c r="K871" s="39" t="s">
        <v>1761</v>
      </c>
      <c r="L871" s="40"/>
    </row>
    <row r="872" spans="1:13" ht="76.5">
      <c r="A872" s="40">
        <v>46249</v>
      </c>
      <c r="B872" s="38">
        <f t="shared" si="15"/>
        <v>33</v>
      </c>
      <c r="C872" s="39" t="s">
        <v>1328</v>
      </c>
      <c r="E872" s="38" t="s">
        <v>1263</v>
      </c>
      <c r="F872" s="38" t="s">
        <v>990</v>
      </c>
      <c r="G872" s="38" t="s">
        <v>943</v>
      </c>
      <c r="I872" s="38" t="s">
        <v>225</v>
      </c>
      <c r="J872" s="38" t="s">
        <v>34</v>
      </c>
      <c r="K872" s="39" t="s">
        <v>1762</v>
      </c>
      <c r="L872" s="40"/>
    </row>
    <row r="873" spans="1:13" ht="38.25">
      <c r="A873" s="40">
        <v>46249</v>
      </c>
      <c r="B873" s="38">
        <f t="shared" si="15"/>
        <v>33</v>
      </c>
      <c r="C873" s="39" t="s">
        <v>1330</v>
      </c>
      <c r="E873" s="38" t="s">
        <v>1296</v>
      </c>
      <c r="F873" s="38" t="s">
        <v>990</v>
      </c>
      <c r="G873" s="38" t="s">
        <v>943</v>
      </c>
      <c r="I873" s="38" t="s">
        <v>225</v>
      </c>
      <c r="J873" s="38" t="s">
        <v>34</v>
      </c>
      <c r="K873" s="39" t="s">
        <v>1763</v>
      </c>
      <c r="L873" s="40"/>
    </row>
    <row r="874" spans="1:13">
      <c r="A874" s="40">
        <v>46249</v>
      </c>
      <c r="B874" s="38">
        <f t="shared" si="15"/>
        <v>33</v>
      </c>
      <c r="C874" s="39" t="s">
        <v>1114</v>
      </c>
      <c r="E874" s="38" t="s">
        <v>1284</v>
      </c>
      <c r="F874" s="38" t="s">
        <v>990</v>
      </c>
      <c r="G874" s="38" t="s">
        <v>943</v>
      </c>
      <c r="I874" s="38" t="s">
        <v>225</v>
      </c>
      <c r="J874" s="38" t="s">
        <v>34</v>
      </c>
      <c r="L874" s="40"/>
    </row>
    <row r="875" spans="1:13">
      <c r="A875" s="40">
        <v>46249</v>
      </c>
      <c r="B875" s="38">
        <f t="shared" si="15"/>
        <v>33</v>
      </c>
      <c r="C875" s="39" t="s">
        <v>1272</v>
      </c>
      <c r="E875" s="38" t="s">
        <v>1278</v>
      </c>
      <c r="F875" s="38" t="s">
        <v>915</v>
      </c>
      <c r="G875" s="38" t="s">
        <v>991</v>
      </c>
      <c r="I875" s="38" t="s">
        <v>225</v>
      </c>
      <c r="L875" s="40"/>
    </row>
    <row r="876" spans="1:13" s="59" customFormat="1">
      <c r="A876" s="58">
        <v>46249</v>
      </c>
      <c r="B876" s="59">
        <f t="shared" si="15"/>
        <v>33</v>
      </c>
      <c r="C876" s="60"/>
      <c r="E876" s="59" t="s">
        <v>1269</v>
      </c>
      <c r="K876" s="60"/>
      <c r="L876" s="58"/>
      <c r="M876" s="60"/>
    </row>
    <row r="877" spans="1:13" ht="127.5">
      <c r="A877" s="40">
        <v>46250</v>
      </c>
      <c r="B877" s="38">
        <f t="shared" si="15"/>
        <v>34</v>
      </c>
      <c r="C877" s="39" t="s">
        <v>707</v>
      </c>
      <c r="D877" s="38" t="s">
        <v>706</v>
      </c>
      <c r="E877" s="38" t="s">
        <v>1260</v>
      </c>
      <c r="F877" s="38" t="s">
        <v>990</v>
      </c>
      <c r="G877" s="38" t="s">
        <v>943</v>
      </c>
      <c r="I877" s="38" t="s">
        <v>225</v>
      </c>
      <c r="J877" s="38" t="s">
        <v>31</v>
      </c>
      <c r="K877" s="39" t="s">
        <v>1764</v>
      </c>
      <c r="L877" s="40"/>
    </row>
    <row r="878" spans="1:13" ht="38.25">
      <c r="A878" s="40">
        <v>46250</v>
      </c>
      <c r="B878" s="38">
        <f t="shared" si="15"/>
        <v>34</v>
      </c>
      <c r="C878" s="39" t="s">
        <v>1333</v>
      </c>
      <c r="E878" s="38" t="s">
        <v>1263</v>
      </c>
      <c r="F878" s="38" t="s">
        <v>990</v>
      </c>
      <c r="G878" s="38" t="s">
        <v>943</v>
      </c>
      <c r="I878" s="38" t="s">
        <v>225</v>
      </c>
      <c r="J878" s="38" t="s">
        <v>31</v>
      </c>
      <c r="K878" s="39" t="s">
        <v>1765</v>
      </c>
      <c r="L878" s="40"/>
    </row>
    <row r="879" spans="1:13" ht="123.75" customHeight="1">
      <c r="A879" s="40">
        <v>46250</v>
      </c>
      <c r="B879" s="38">
        <f t="shared" si="15"/>
        <v>34</v>
      </c>
      <c r="C879" s="39" t="s">
        <v>563</v>
      </c>
      <c r="D879" s="38" t="s">
        <v>68</v>
      </c>
      <c r="E879" s="38" t="s">
        <v>1296</v>
      </c>
      <c r="F879" s="38" t="s">
        <v>990</v>
      </c>
      <c r="G879" s="38" t="s">
        <v>943</v>
      </c>
      <c r="I879" s="38" t="s">
        <v>225</v>
      </c>
      <c r="J879" s="38" t="s">
        <v>31</v>
      </c>
      <c r="K879" s="39" t="s">
        <v>1766</v>
      </c>
      <c r="L879" s="40"/>
    </row>
    <row r="880" spans="1:13" ht="180.75" customHeight="1">
      <c r="A880" s="40">
        <v>46250</v>
      </c>
      <c r="B880" s="38">
        <f t="shared" si="15"/>
        <v>34</v>
      </c>
      <c r="C880" s="39" t="s">
        <v>586</v>
      </c>
      <c r="D880" s="38" t="s">
        <v>70</v>
      </c>
      <c r="E880" s="38" t="s">
        <v>1284</v>
      </c>
      <c r="F880" s="38" t="s">
        <v>990</v>
      </c>
      <c r="G880" s="38" t="s">
        <v>943</v>
      </c>
      <c r="I880" s="38" t="s">
        <v>225</v>
      </c>
      <c r="J880" s="38" t="s">
        <v>31</v>
      </c>
      <c r="K880" s="39" t="s">
        <v>1767</v>
      </c>
      <c r="L880" s="40"/>
    </row>
    <row r="881" spans="1:13" ht="63.75">
      <c r="A881" s="40">
        <v>46250</v>
      </c>
      <c r="B881" s="38">
        <f t="shared" si="15"/>
        <v>34</v>
      </c>
      <c r="C881" s="39" t="s">
        <v>1429</v>
      </c>
      <c r="D881" s="38" t="s">
        <v>66</v>
      </c>
      <c r="E881" s="38" t="s">
        <v>1278</v>
      </c>
      <c r="F881" s="38" t="s">
        <v>915</v>
      </c>
      <c r="G881" s="38" t="s">
        <v>991</v>
      </c>
      <c r="I881" s="38" t="s">
        <v>225</v>
      </c>
      <c r="J881" s="38" t="s">
        <v>31</v>
      </c>
      <c r="K881" s="39" t="s">
        <v>1768</v>
      </c>
      <c r="L881" s="40"/>
    </row>
    <row r="882" spans="1:13" s="59" customFormat="1">
      <c r="A882" s="58"/>
      <c r="B882" s="59">
        <f t="shared" si="15"/>
        <v>0</v>
      </c>
      <c r="C882" s="60"/>
      <c r="K882" s="60"/>
      <c r="L882" s="58"/>
      <c r="M882" s="60"/>
    </row>
    <row r="883" spans="1:13" ht="76.5">
      <c r="A883" s="40">
        <v>46251</v>
      </c>
      <c r="B883" s="38">
        <f t="shared" si="15"/>
        <v>34</v>
      </c>
      <c r="C883" s="39" t="s">
        <v>1769</v>
      </c>
      <c r="D883" s="38" t="s">
        <v>818</v>
      </c>
      <c r="E883" s="38" t="s">
        <v>1260</v>
      </c>
      <c r="F883" s="38" t="s">
        <v>990</v>
      </c>
      <c r="G883" s="38" t="s">
        <v>1264</v>
      </c>
      <c r="I883" s="38" t="s">
        <v>225</v>
      </c>
      <c r="J883" s="38" t="s">
        <v>34</v>
      </c>
      <c r="K883" s="39" t="s">
        <v>820</v>
      </c>
      <c r="L883" s="40"/>
    </row>
    <row r="884" spans="1:13" ht="76.5">
      <c r="A884" s="40">
        <v>46251</v>
      </c>
      <c r="B884" s="38">
        <f t="shared" si="15"/>
        <v>34</v>
      </c>
      <c r="C884" s="39" t="s">
        <v>1770</v>
      </c>
      <c r="E884" s="38" t="s">
        <v>1263</v>
      </c>
      <c r="J884" s="38" t="s">
        <v>34</v>
      </c>
      <c r="K884" s="39" t="s">
        <v>1771</v>
      </c>
      <c r="L884" s="40"/>
    </row>
    <row r="885" spans="1:13">
      <c r="A885" s="40">
        <v>46251</v>
      </c>
      <c r="B885" s="38">
        <f t="shared" si="15"/>
        <v>34</v>
      </c>
      <c r="C885" s="39" t="s">
        <v>1770</v>
      </c>
      <c r="E885" s="38" t="s">
        <v>1296</v>
      </c>
      <c r="J885" s="38" t="s">
        <v>34</v>
      </c>
      <c r="L885" s="40"/>
    </row>
    <row r="886" spans="1:13">
      <c r="A886" s="40">
        <v>46251</v>
      </c>
      <c r="B886" s="38">
        <f t="shared" si="15"/>
        <v>34</v>
      </c>
      <c r="C886" s="39" t="s">
        <v>1770</v>
      </c>
      <c r="E886" s="38" t="s">
        <v>1284</v>
      </c>
      <c r="J886" s="38" t="s">
        <v>34</v>
      </c>
      <c r="L886" s="40"/>
    </row>
    <row r="887" spans="1:13" ht="25.5">
      <c r="A887" s="40">
        <v>46251</v>
      </c>
      <c r="B887" s="38">
        <f t="shared" si="15"/>
        <v>34</v>
      </c>
      <c r="C887" s="39" t="s">
        <v>1772</v>
      </c>
      <c r="E887" s="38" t="s">
        <v>1280</v>
      </c>
      <c r="L887" s="40"/>
    </row>
    <row r="888" spans="1:13" ht="25.5">
      <c r="A888" s="40">
        <v>46251</v>
      </c>
      <c r="B888" s="38">
        <f t="shared" si="15"/>
        <v>34</v>
      </c>
      <c r="C888" s="39" t="s">
        <v>1751</v>
      </c>
      <c r="E888" s="38" t="s">
        <v>1269</v>
      </c>
      <c r="L888" s="40"/>
    </row>
    <row r="889" spans="1:13" s="59" customFormat="1">
      <c r="A889" s="58"/>
      <c r="B889" s="59">
        <f t="shared" si="15"/>
        <v>0</v>
      </c>
      <c r="C889" s="60"/>
      <c r="K889" s="60"/>
      <c r="L889" s="58"/>
      <c r="M889" s="60"/>
    </row>
    <row r="890" spans="1:13" ht="63.75">
      <c r="A890" s="40">
        <v>46252</v>
      </c>
      <c r="B890" s="38">
        <f t="shared" si="15"/>
        <v>34</v>
      </c>
      <c r="C890" s="39" t="s">
        <v>1773</v>
      </c>
      <c r="D890" s="38" t="s">
        <v>807</v>
      </c>
      <c r="E890" s="38" t="s">
        <v>1260</v>
      </c>
      <c r="F890" s="38" t="s">
        <v>990</v>
      </c>
      <c r="G890" s="38" t="s">
        <v>943</v>
      </c>
      <c r="I890" s="38" t="s">
        <v>225</v>
      </c>
      <c r="J890" s="38" t="s">
        <v>34</v>
      </c>
      <c r="K890" s="39" t="s">
        <v>809</v>
      </c>
      <c r="L890" s="40"/>
    </row>
    <row r="891" spans="1:13" ht="63" customHeight="1">
      <c r="A891" s="40">
        <v>46252</v>
      </c>
      <c r="B891" s="38">
        <f t="shared" si="15"/>
        <v>34</v>
      </c>
      <c r="C891" s="39" t="s">
        <v>811</v>
      </c>
      <c r="D891" s="38" t="s">
        <v>810</v>
      </c>
      <c r="E891" s="38" t="s">
        <v>1260</v>
      </c>
      <c r="F891" s="38" t="s">
        <v>990</v>
      </c>
      <c r="G891" s="38" t="s">
        <v>943</v>
      </c>
      <c r="I891" s="38" t="s">
        <v>225</v>
      </c>
      <c r="J891" s="38" t="s">
        <v>34</v>
      </c>
      <c r="K891" s="39" t="s">
        <v>813</v>
      </c>
      <c r="L891" s="40"/>
    </row>
    <row r="892" spans="1:13" ht="25.5">
      <c r="A892" s="40">
        <v>46252</v>
      </c>
      <c r="B892" s="38">
        <f t="shared" si="15"/>
        <v>34</v>
      </c>
      <c r="C892" s="39" t="s">
        <v>1774</v>
      </c>
      <c r="E892" s="38" t="s">
        <v>1263</v>
      </c>
      <c r="F892" s="38" t="s">
        <v>990</v>
      </c>
      <c r="G892" s="38" t="s">
        <v>943</v>
      </c>
      <c r="I892" s="38" t="s">
        <v>225</v>
      </c>
      <c r="J892" s="38" t="s">
        <v>34</v>
      </c>
      <c r="K892" s="39" t="s">
        <v>1775</v>
      </c>
      <c r="L892" s="40"/>
    </row>
    <row r="893" spans="1:13" ht="25.5">
      <c r="A893" s="40">
        <v>46252</v>
      </c>
      <c r="B893" s="38">
        <f t="shared" si="15"/>
        <v>34</v>
      </c>
      <c r="C893" s="39" t="s">
        <v>815</v>
      </c>
      <c r="D893" s="38" t="s">
        <v>814</v>
      </c>
      <c r="E893" s="38" t="s">
        <v>1284</v>
      </c>
      <c r="F893" s="38" t="s">
        <v>990</v>
      </c>
      <c r="G893" s="38" t="s">
        <v>943</v>
      </c>
      <c r="I893" s="38" t="s">
        <v>225</v>
      </c>
      <c r="J893" s="38" t="s">
        <v>34</v>
      </c>
      <c r="K893" s="39" t="s">
        <v>1776</v>
      </c>
      <c r="L893" s="40"/>
    </row>
    <row r="894" spans="1:13" ht="76.5">
      <c r="A894" s="40">
        <v>46252</v>
      </c>
      <c r="B894" s="38">
        <f t="shared" si="15"/>
        <v>34</v>
      </c>
      <c r="C894" s="39" t="s">
        <v>1777</v>
      </c>
      <c r="D894" s="38" t="s">
        <v>754</v>
      </c>
      <c r="E894" s="38" t="s">
        <v>1278</v>
      </c>
      <c r="F894" s="38" t="s">
        <v>926</v>
      </c>
      <c r="G894" s="38" t="s">
        <v>943</v>
      </c>
      <c r="I894" s="38" t="s">
        <v>32</v>
      </c>
      <c r="J894" s="38" t="s">
        <v>34</v>
      </c>
      <c r="K894" s="39" t="s">
        <v>1778</v>
      </c>
      <c r="L894" s="40"/>
    </row>
    <row r="895" spans="1:13" s="59" customFormat="1">
      <c r="A895" s="58">
        <v>46252</v>
      </c>
      <c r="B895" s="59">
        <f t="shared" si="15"/>
        <v>34</v>
      </c>
      <c r="C895" s="60"/>
      <c r="K895" s="60"/>
      <c r="L895" s="58"/>
      <c r="M895" s="60"/>
    </row>
    <row r="896" spans="1:13" ht="50.25" customHeight="1">
      <c r="A896" s="40">
        <v>46256</v>
      </c>
      <c r="B896" s="38">
        <f t="shared" si="15"/>
        <v>34</v>
      </c>
      <c r="C896" s="39" t="s">
        <v>1345</v>
      </c>
      <c r="E896" s="38" t="s">
        <v>1260</v>
      </c>
      <c r="F896" s="38" t="s">
        <v>990</v>
      </c>
      <c r="G896" s="38" t="s">
        <v>943</v>
      </c>
      <c r="I896" s="38" t="s">
        <v>225</v>
      </c>
      <c r="J896" s="38" t="s">
        <v>31</v>
      </c>
      <c r="K896" s="39" t="s">
        <v>1779</v>
      </c>
      <c r="L896" s="40"/>
    </row>
    <row r="897" spans="1:13" ht="128.25" customHeight="1">
      <c r="A897" s="40">
        <v>46256</v>
      </c>
      <c r="B897" s="38">
        <f t="shared" si="15"/>
        <v>34</v>
      </c>
      <c r="C897" s="39" t="s">
        <v>1347</v>
      </c>
      <c r="D897" s="38" t="s">
        <v>274</v>
      </c>
      <c r="E897" s="38" t="s">
        <v>1263</v>
      </c>
      <c r="F897" s="38" t="s">
        <v>990</v>
      </c>
      <c r="G897" s="38" t="s">
        <v>943</v>
      </c>
      <c r="I897" s="38" t="s">
        <v>225</v>
      </c>
      <c r="J897" s="38" t="s">
        <v>31</v>
      </c>
      <c r="K897" s="39" t="s">
        <v>1780</v>
      </c>
      <c r="L897" s="40"/>
    </row>
    <row r="898" spans="1:13" ht="38.25">
      <c r="A898" s="40">
        <v>46256</v>
      </c>
      <c r="B898" s="38">
        <f t="shared" si="15"/>
        <v>34</v>
      </c>
      <c r="C898" s="39" t="s">
        <v>1349</v>
      </c>
      <c r="E898" s="38" t="s">
        <v>1296</v>
      </c>
      <c r="F898" s="38" t="s">
        <v>990</v>
      </c>
      <c r="G898" s="38" t="s">
        <v>943</v>
      </c>
      <c r="I898" s="38" t="s">
        <v>225</v>
      </c>
      <c r="J898" s="38" t="s">
        <v>31</v>
      </c>
      <c r="K898" s="39" t="s">
        <v>1781</v>
      </c>
      <c r="L898" s="40"/>
    </row>
    <row r="899" spans="1:13" ht="63.75" customHeight="1">
      <c r="A899" s="40">
        <v>46256</v>
      </c>
      <c r="B899" s="38">
        <f t="shared" si="15"/>
        <v>34</v>
      </c>
      <c r="C899" s="39" t="s">
        <v>1782</v>
      </c>
      <c r="D899" s="38" t="s">
        <v>824</v>
      </c>
      <c r="E899" s="38" t="s">
        <v>1284</v>
      </c>
      <c r="F899" s="38" t="s">
        <v>990</v>
      </c>
      <c r="G899" s="38" t="s">
        <v>943</v>
      </c>
      <c r="I899" s="38" t="s">
        <v>225</v>
      </c>
      <c r="J899" s="38" t="s">
        <v>31</v>
      </c>
      <c r="K899" s="39" t="s">
        <v>1783</v>
      </c>
      <c r="L899" s="40"/>
    </row>
    <row r="900" spans="1:13" ht="39.75" customHeight="1">
      <c r="A900" s="40">
        <v>46256</v>
      </c>
      <c r="B900" s="38">
        <f t="shared" si="15"/>
        <v>34</v>
      </c>
      <c r="C900" s="39" t="s">
        <v>1784</v>
      </c>
      <c r="E900" s="38" t="s">
        <v>1260</v>
      </c>
      <c r="F900" s="38" t="s">
        <v>990</v>
      </c>
      <c r="G900" s="38" t="s">
        <v>943</v>
      </c>
      <c r="I900" s="38" t="s">
        <v>225</v>
      </c>
      <c r="J900" s="38" t="s">
        <v>31</v>
      </c>
      <c r="K900" s="39" t="s">
        <v>1775</v>
      </c>
      <c r="L900" s="40"/>
    </row>
    <row r="901" spans="1:13">
      <c r="A901" s="40">
        <v>46256</v>
      </c>
      <c r="B901" s="38">
        <f t="shared" si="15"/>
        <v>34</v>
      </c>
      <c r="C901" s="39" t="s">
        <v>916</v>
      </c>
      <c r="E901" s="38" t="s">
        <v>1269</v>
      </c>
      <c r="F901" s="38" t="s">
        <v>961</v>
      </c>
      <c r="L901" s="40"/>
    </row>
    <row r="902" spans="1:13" s="59" customFormat="1">
      <c r="A902" s="58"/>
      <c r="B902" s="59">
        <f t="shared" si="15"/>
        <v>0</v>
      </c>
      <c r="C902" s="60"/>
      <c r="K902" s="60"/>
      <c r="L902" s="58"/>
      <c r="M902" s="60"/>
    </row>
    <row r="903" spans="1:13" ht="35.25" customHeight="1">
      <c r="A903" s="40">
        <v>46257</v>
      </c>
      <c r="B903" s="38">
        <f t="shared" si="15"/>
        <v>35</v>
      </c>
      <c r="C903" s="39" t="s">
        <v>1785</v>
      </c>
      <c r="E903" s="38" t="s">
        <v>1260</v>
      </c>
      <c r="F903" s="38" t="s">
        <v>915</v>
      </c>
      <c r="G903" s="38" t="s">
        <v>916</v>
      </c>
      <c r="L903" s="40"/>
    </row>
    <row r="904" spans="1:13" ht="38.25">
      <c r="A904" s="40">
        <v>46257</v>
      </c>
      <c r="B904" s="38">
        <f t="shared" si="15"/>
        <v>35</v>
      </c>
      <c r="C904" s="39" t="s">
        <v>1786</v>
      </c>
      <c r="E904" s="38" t="s">
        <v>1284</v>
      </c>
      <c r="F904" s="38" t="s">
        <v>947</v>
      </c>
      <c r="K904" s="39" t="s">
        <v>1787</v>
      </c>
      <c r="L904" s="40"/>
    </row>
    <row r="905" spans="1:13" ht="105.75" customHeight="1">
      <c r="A905" s="40">
        <v>46257</v>
      </c>
      <c r="B905" s="38">
        <f t="shared" si="15"/>
        <v>35</v>
      </c>
      <c r="C905" s="39" t="s">
        <v>1788</v>
      </c>
      <c r="E905" s="38" t="s">
        <v>1266</v>
      </c>
      <c r="F905" s="38" t="s">
        <v>990</v>
      </c>
      <c r="G905" s="38" t="s">
        <v>943</v>
      </c>
      <c r="I905" s="38" t="s">
        <v>225</v>
      </c>
      <c r="K905" s="47" t="s">
        <v>1789</v>
      </c>
      <c r="L905" s="40"/>
    </row>
    <row r="906" spans="1:13" ht="73.5" customHeight="1">
      <c r="A906" s="40">
        <v>46257</v>
      </c>
      <c r="B906" s="38">
        <f t="shared" ref="B906:B971" si="16">WEEKNUM(A906)</f>
        <v>35</v>
      </c>
      <c r="C906" s="39" t="s">
        <v>1790</v>
      </c>
      <c r="E906" s="38" t="s">
        <v>1278</v>
      </c>
      <c r="F906" s="38" t="s">
        <v>990</v>
      </c>
      <c r="G906" s="38" t="s">
        <v>943</v>
      </c>
      <c r="I906" s="38" t="s">
        <v>225</v>
      </c>
      <c r="K906" s="47" t="s">
        <v>1791</v>
      </c>
      <c r="L906" s="40"/>
    </row>
    <row r="907" spans="1:13" ht="25.5">
      <c r="A907" s="40">
        <v>46257</v>
      </c>
      <c r="B907" s="38">
        <f t="shared" si="16"/>
        <v>35</v>
      </c>
      <c r="C907" s="39" t="s">
        <v>1792</v>
      </c>
      <c r="E907" s="38" t="s">
        <v>1280</v>
      </c>
      <c r="F907" s="38" t="s">
        <v>990</v>
      </c>
      <c r="G907" s="38" t="s">
        <v>943</v>
      </c>
      <c r="K907" s="39" t="s">
        <v>1793</v>
      </c>
      <c r="L907" s="40"/>
    </row>
    <row r="908" spans="1:13" s="59" customFormat="1">
      <c r="A908" s="58">
        <v>46257</v>
      </c>
      <c r="B908" s="59">
        <f t="shared" si="16"/>
        <v>35</v>
      </c>
      <c r="C908" s="60"/>
      <c r="K908" s="60"/>
      <c r="L908" s="58"/>
      <c r="M908" s="60"/>
    </row>
    <row r="909" spans="1:13" ht="51">
      <c r="A909" s="40">
        <v>46258</v>
      </c>
      <c r="B909" s="38">
        <f t="shared" si="16"/>
        <v>35</v>
      </c>
      <c r="C909" s="39" t="s">
        <v>1794</v>
      </c>
      <c r="D909" s="38" t="s">
        <v>830</v>
      </c>
      <c r="E909" s="38" t="s">
        <v>1260</v>
      </c>
      <c r="F909" s="38" t="s">
        <v>990</v>
      </c>
      <c r="G909" s="38" t="s">
        <v>943</v>
      </c>
      <c r="I909" s="38" t="s">
        <v>225</v>
      </c>
      <c r="J909" s="38" t="s">
        <v>31</v>
      </c>
      <c r="K909" s="39" t="s">
        <v>831</v>
      </c>
      <c r="L909" s="40"/>
    </row>
    <row r="910" spans="1:13" ht="38.25">
      <c r="A910" s="40">
        <v>46258</v>
      </c>
      <c r="B910" s="38">
        <f t="shared" si="16"/>
        <v>35</v>
      </c>
      <c r="C910" s="39" t="s">
        <v>1795</v>
      </c>
      <c r="E910" s="38" t="s">
        <v>1263</v>
      </c>
      <c r="F910" s="38" t="s">
        <v>990</v>
      </c>
      <c r="G910" s="38" t="s">
        <v>943</v>
      </c>
      <c r="I910" s="38" t="s">
        <v>225</v>
      </c>
      <c r="J910" s="38" t="s">
        <v>31</v>
      </c>
      <c r="K910" s="39" t="s">
        <v>1796</v>
      </c>
      <c r="L910" s="40"/>
    </row>
    <row r="911" spans="1:13" ht="76.5">
      <c r="A911" s="40">
        <v>46258</v>
      </c>
      <c r="B911" s="38">
        <f t="shared" si="16"/>
        <v>35</v>
      </c>
      <c r="C911" s="39" t="s">
        <v>1797</v>
      </c>
      <c r="E911" s="38" t="s">
        <v>1296</v>
      </c>
      <c r="F911" s="38" t="s">
        <v>990</v>
      </c>
      <c r="G911" s="38" t="s">
        <v>943</v>
      </c>
      <c r="I911" s="38" t="s">
        <v>225</v>
      </c>
      <c r="J911" s="38" t="s">
        <v>31</v>
      </c>
      <c r="K911" s="39" t="s">
        <v>1798</v>
      </c>
      <c r="L911" s="40"/>
    </row>
    <row r="912" spans="1:13" ht="38.25">
      <c r="A912" s="40">
        <v>46258</v>
      </c>
      <c r="B912" s="38">
        <f t="shared" si="16"/>
        <v>35</v>
      </c>
      <c r="C912" s="39" t="s">
        <v>811</v>
      </c>
      <c r="D912" s="38" t="s">
        <v>810</v>
      </c>
      <c r="E912" s="38" t="s">
        <v>1278</v>
      </c>
      <c r="F912" s="38" t="s">
        <v>915</v>
      </c>
      <c r="G912" s="38" t="s">
        <v>916</v>
      </c>
      <c r="I912" s="38" t="s">
        <v>225</v>
      </c>
      <c r="J912" s="38" t="s">
        <v>31</v>
      </c>
      <c r="K912" s="39" t="s">
        <v>1799</v>
      </c>
      <c r="L912" s="40"/>
    </row>
    <row r="913" spans="1:12">
      <c r="A913" s="58">
        <v>46258</v>
      </c>
      <c r="B913" s="59">
        <f t="shared" si="16"/>
        <v>35</v>
      </c>
      <c r="C913" s="60"/>
      <c r="D913" s="59"/>
      <c r="E913" s="59"/>
      <c r="F913" s="59"/>
      <c r="G913" s="59"/>
      <c r="H913" s="59"/>
      <c r="I913" s="59"/>
      <c r="J913" s="59"/>
      <c r="K913" s="60"/>
      <c r="L913" s="58"/>
    </row>
    <row r="914" spans="1:12" ht="25.5">
      <c r="A914" s="40">
        <v>46260</v>
      </c>
      <c r="B914" s="38">
        <f t="shared" si="16"/>
        <v>35</v>
      </c>
      <c r="C914" s="39" t="s">
        <v>1361</v>
      </c>
      <c r="E914" s="38" t="s">
        <v>1260</v>
      </c>
      <c r="F914" s="259" t="s">
        <v>961</v>
      </c>
      <c r="G914" s="38" t="s">
        <v>916</v>
      </c>
      <c r="I914" s="220" t="s">
        <v>225</v>
      </c>
      <c r="J914" s="220" t="s">
        <v>34</v>
      </c>
      <c r="L914" s="40"/>
    </row>
    <row r="915" spans="1:12" ht="14.25">
      <c r="A915" s="40">
        <v>46260</v>
      </c>
      <c r="B915" s="38">
        <f t="shared" si="16"/>
        <v>35</v>
      </c>
      <c r="C915" s="39" t="s">
        <v>1362</v>
      </c>
      <c r="E915" s="38" t="s">
        <v>1263</v>
      </c>
      <c r="F915" s="275" t="s">
        <v>961</v>
      </c>
      <c r="G915" s="38" t="s">
        <v>916</v>
      </c>
      <c r="I915" s="220" t="s">
        <v>225</v>
      </c>
      <c r="J915" s="220" t="s">
        <v>34</v>
      </c>
      <c r="L915" s="40"/>
    </row>
    <row r="916" spans="1:12" ht="14.25">
      <c r="A916" s="40">
        <v>46260</v>
      </c>
      <c r="B916" s="38">
        <f t="shared" si="16"/>
        <v>35</v>
      </c>
      <c r="C916" s="39" t="s">
        <v>1262</v>
      </c>
      <c r="E916" s="38" t="s">
        <v>1296</v>
      </c>
      <c r="F916" s="311" t="s">
        <v>961</v>
      </c>
      <c r="G916" s="38" t="s">
        <v>916</v>
      </c>
      <c r="I916" s="220" t="s">
        <v>225</v>
      </c>
      <c r="J916" s="220" t="s">
        <v>34</v>
      </c>
      <c r="L916" s="40"/>
    </row>
    <row r="917" spans="1:12" ht="63.75">
      <c r="A917" s="40">
        <v>46260</v>
      </c>
      <c r="B917" s="38">
        <f t="shared" si="16"/>
        <v>35</v>
      </c>
      <c r="C917" s="39" t="s">
        <v>1800</v>
      </c>
      <c r="D917" s="38" t="s">
        <v>285</v>
      </c>
      <c r="E917" s="38" t="s">
        <v>1284</v>
      </c>
      <c r="F917" s="259" t="s">
        <v>915</v>
      </c>
      <c r="G917" s="38" t="s">
        <v>1264</v>
      </c>
      <c r="I917" s="220" t="s">
        <v>225</v>
      </c>
      <c r="J917" s="220" t="s">
        <v>34</v>
      </c>
      <c r="K917" s="39" t="s">
        <v>1801</v>
      </c>
      <c r="L917" s="40"/>
    </row>
    <row r="918" spans="1:12" ht="14.25">
      <c r="A918" s="40">
        <v>46260</v>
      </c>
      <c r="B918" s="38">
        <f t="shared" si="16"/>
        <v>35</v>
      </c>
      <c r="C918" s="39" t="s">
        <v>916</v>
      </c>
      <c r="E918" s="38" t="s">
        <v>1278</v>
      </c>
      <c r="F918" s="288" t="s">
        <v>915</v>
      </c>
      <c r="G918" s="38" t="s">
        <v>991</v>
      </c>
      <c r="I918" s="220" t="s">
        <v>225</v>
      </c>
      <c r="J918" s="220"/>
      <c r="L918" s="40"/>
    </row>
    <row r="919" spans="1:12" ht="14.25">
      <c r="A919" s="40">
        <v>46260</v>
      </c>
      <c r="B919" s="38">
        <f t="shared" si="16"/>
        <v>35</v>
      </c>
      <c r="C919" s="39" t="s">
        <v>916</v>
      </c>
      <c r="E919" s="38" t="s">
        <v>1269</v>
      </c>
      <c r="F919" s="288" t="s">
        <v>961</v>
      </c>
      <c r="I919" s="220"/>
      <c r="J919" s="220"/>
      <c r="L919" s="40"/>
    </row>
    <row r="920" spans="1:12" ht="89.25">
      <c r="A920" s="40">
        <v>46261</v>
      </c>
      <c r="B920" s="38">
        <f>WEEKNUM(A920)</f>
        <v>35</v>
      </c>
      <c r="C920" s="39" t="s">
        <v>1802</v>
      </c>
      <c r="D920" s="38" t="s">
        <v>837</v>
      </c>
      <c r="E920" s="38" t="s">
        <v>1260</v>
      </c>
      <c r="F920" s="38" t="s">
        <v>915</v>
      </c>
      <c r="G920" s="38" t="s">
        <v>916</v>
      </c>
      <c r="I920" s="38" t="s">
        <v>41</v>
      </c>
      <c r="J920" s="38" t="s">
        <v>42</v>
      </c>
      <c r="K920" s="39" t="s">
        <v>1803</v>
      </c>
      <c r="L920" s="40"/>
    </row>
    <row r="921" spans="1:12" ht="63.75">
      <c r="A921" s="40">
        <v>46261</v>
      </c>
      <c r="B921" s="38">
        <f t="shared" si="16"/>
        <v>35</v>
      </c>
      <c r="C921" s="39" t="s">
        <v>1804</v>
      </c>
      <c r="D921" s="38" t="s">
        <v>841</v>
      </c>
      <c r="E921" s="38" t="s">
        <v>1263</v>
      </c>
      <c r="F921" s="38" t="s">
        <v>915</v>
      </c>
      <c r="G921" s="38" t="s">
        <v>916</v>
      </c>
      <c r="J921" s="38" t="s">
        <v>37</v>
      </c>
      <c r="K921" s="39" t="s">
        <v>1805</v>
      </c>
      <c r="L921" s="40"/>
    </row>
    <row r="922" spans="1:12" ht="114.75">
      <c r="A922" s="40">
        <v>46261</v>
      </c>
      <c r="B922" s="38">
        <f t="shared" si="16"/>
        <v>35</v>
      </c>
      <c r="C922" s="39" t="s">
        <v>1806</v>
      </c>
      <c r="D922" s="38" t="s">
        <v>846</v>
      </c>
      <c r="E922" s="38" t="s">
        <v>1296</v>
      </c>
      <c r="F922" s="38" t="s">
        <v>990</v>
      </c>
      <c r="G922" s="38" t="s">
        <v>943</v>
      </c>
      <c r="I922" s="38" t="s">
        <v>225</v>
      </c>
      <c r="J922" s="38" t="s">
        <v>34</v>
      </c>
      <c r="K922" s="39" t="s">
        <v>849</v>
      </c>
      <c r="L922" s="40"/>
    </row>
    <row r="923" spans="1:12" ht="88.5" customHeight="1">
      <c r="A923" s="40">
        <v>46263</v>
      </c>
      <c r="B923" s="38">
        <f t="shared" si="16"/>
        <v>35</v>
      </c>
      <c r="C923" s="39" t="s">
        <v>1807</v>
      </c>
      <c r="D923" s="38" t="s">
        <v>850</v>
      </c>
      <c r="E923" s="38" t="s">
        <v>1260</v>
      </c>
      <c r="F923" s="38" t="s">
        <v>990</v>
      </c>
      <c r="G923" s="38" t="s">
        <v>943</v>
      </c>
      <c r="I923" s="38" t="s">
        <v>225</v>
      </c>
      <c r="J923" s="38" t="s">
        <v>34</v>
      </c>
      <c r="K923" s="39" t="s">
        <v>1808</v>
      </c>
      <c r="L923" s="40"/>
    </row>
    <row r="924" spans="1:12" ht="102">
      <c r="A924" s="40">
        <v>46263</v>
      </c>
      <c r="B924" s="38">
        <f t="shared" si="16"/>
        <v>35</v>
      </c>
      <c r="C924" s="39" t="s">
        <v>1809</v>
      </c>
      <c r="D924" s="38" t="s">
        <v>854</v>
      </c>
      <c r="E924" s="38" t="s">
        <v>1296</v>
      </c>
      <c r="F924" s="38" t="s">
        <v>990</v>
      </c>
      <c r="G924" s="38" t="s">
        <v>943</v>
      </c>
      <c r="I924" s="38" t="s">
        <v>225</v>
      </c>
      <c r="J924" s="38" t="s">
        <v>34</v>
      </c>
      <c r="K924" s="39" t="s">
        <v>1810</v>
      </c>
      <c r="L924" s="40"/>
    </row>
    <row r="925" spans="1:12" ht="140.25">
      <c r="A925" s="40">
        <v>46264</v>
      </c>
      <c r="B925" s="38">
        <f t="shared" si="16"/>
        <v>36</v>
      </c>
      <c r="C925" s="39" t="s">
        <v>1811</v>
      </c>
      <c r="D925" s="38" t="s">
        <v>858</v>
      </c>
      <c r="E925" s="38" t="s">
        <v>1260</v>
      </c>
      <c r="F925" s="38" t="s">
        <v>926</v>
      </c>
      <c r="G925" s="38" t="s">
        <v>943</v>
      </c>
      <c r="I925" s="38" t="s">
        <v>225</v>
      </c>
      <c r="J925" s="38" t="s">
        <v>34</v>
      </c>
      <c r="K925" s="39" t="s">
        <v>861</v>
      </c>
      <c r="L925" s="40"/>
    </row>
    <row r="926" spans="1:12" ht="102">
      <c r="A926" s="40">
        <v>46264</v>
      </c>
      <c r="B926" s="38">
        <f t="shared" si="16"/>
        <v>36</v>
      </c>
      <c r="C926" s="39" t="s">
        <v>1812</v>
      </c>
      <c r="D926" s="38" t="s">
        <v>850</v>
      </c>
      <c r="E926" s="38" t="s">
        <v>1263</v>
      </c>
      <c r="F926" s="38" t="s">
        <v>926</v>
      </c>
      <c r="G926" s="38" t="s">
        <v>943</v>
      </c>
      <c r="I926" s="38" t="s">
        <v>225</v>
      </c>
      <c r="J926" s="38" t="s">
        <v>34</v>
      </c>
      <c r="K926" s="39" t="s">
        <v>1813</v>
      </c>
      <c r="L926" s="40"/>
    </row>
    <row r="927" spans="1:12">
      <c r="A927" s="40">
        <v>46264</v>
      </c>
      <c r="B927" s="38">
        <f t="shared" si="16"/>
        <v>36</v>
      </c>
      <c r="C927" s="39" t="s">
        <v>1814</v>
      </c>
      <c r="E927" s="38" t="s">
        <v>1296</v>
      </c>
      <c r="F927" s="38" t="s">
        <v>947</v>
      </c>
      <c r="L927" s="40"/>
    </row>
    <row r="928" spans="1:12">
      <c r="A928" s="40">
        <v>46264</v>
      </c>
      <c r="B928" s="38">
        <f t="shared" si="16"/>
        <v>36</v>
      </c>
      <c r="C928" s="39" t="s">
        <v>1815</v>
      </c>
      <c r="E928" s="38" t="s">
        <v>1284</v>
      </c>
      <c r="F928" s="38" t="s">
        <v>915</v>
      </c>
      <c r="L928" s="40"/>
    </row>
    <row r="929" spans="1:12" ht="25.5">
      <c r="A929" s="40">
        <v>46264</v>
      </c>
      <c r="B929" s="38">
        <f t="shared" si="16"/>
        <v>36</v>
      </c>
      <c r="C929" s="39" t="s">
        <v>1816</v>
      </c>
      <c r="E929" s="38" t="s">
        <v>1266</v>
      </c>
      <c r="F929" s="38" t="s">
        <v>915</v>
      </c>
      <c r="L929" s="40"/>
    </row>
    <row r="930" spans="1:12" ht="25.5">
      <c r="A930" s="40">
        <v>46264</v>
      </c>
      <c r="B930" s="38">
        <f t="shared" si="16"/>
        <v>36</v>
      </c>
      <c r="C930" s="39" t="s">
        <v>1817</v>
      </c>
      <c r="E930" s="38" t="s">
        <v>1266</v>
      </c>
      <c r="F930" s="38" t="s">
        <v>915</v>
      </c>
      <c r="L930" s="40"/>
    </row>
    <row r="931" spans="1:12" ht="38.25">
      <c r="A931" s="40">
        <v>46264</v>
      </c>
      <c r="B931" s="38">
        <f t="shared" si="16"/>
        <v>36</v>
      </c>
      <c r="C931" s="39" t="s">
        <v>1818</v>
      </c>
      <c r="D931" s="38" t="s">
        <v>862</v>
      </c>
      <c r="E931" s="38" t="s">
        <v>1280</v>
      </c>
      <c r="F931" s="38" t="s">
        <v>947</v>
      </c>
      <c r="K931" s="39" t="s">
        <v>1819</v>
      </c>
      <c r="L931" s="40"/>
    </row>
    <row r="932" spans="1:12" ht="114.75">
      <c r="A932" s="40">
        <v>46295</v>
      </c>
      <c r="B932" s="38">
        <f t="shared" si="16"/>
        <v>40</v>
      </c>
      <c r="C932" s="39" t="s">
        <v>1820</v>
      </c>
      <c r="D932" s="38" t="s">
        <v>866</v>
      </c>
      <c r="E932" s="38" t="s">
        <v>1269</v>
      </c>
      <c r="F932" s="38" t="s">
        <v>990</v>
      </c>
      <c r="G932" s="38" t="s">
        <v>943</v>
      </c>
      <c r="I932" s="38" t="s">
        <v>225</v>
      </c>
      <c r="J932" s="38" t="s">
        <v>34</v>
      </c>
      <c r="K932" s="39" t="s">
        <v>1821</v>
      </c>
      <c r="L932" s="40"/>
    </row>
    <row r="933" spans="1:12" ht="114.75">
      <c r="A933" s="40">
        <v>46266</v>
      </c>
      <c r="B933" s="38">
        <f t="shared" si="16"/>
        <v>36</v>
      </c>
      <c r="C933" s="39" t="s">
        <v>870</v>
      </c>
      <c r="D933" s="38" t="s">
        <v>869</v>
      </c>
      <c r="E933" s="38" t="s">
        <v>1260</v>
      </c>
      <c r="F933" s="38" t="s">
        <v>915</v>
      </c>
      <c r="G933" s="38" t="s">
        <v>916</v>
      </c>
      <c r="I933" s="38" t="s">
        <v>225</v>
      </c>
      <c r="J933" s="38" t="s">
        <v>224</v>
      </c>
      <c r="K933" s="39" t="s">
        <v>872</v>
      </c>
      <c r="L933" s="40"/>
    </row>
    <row r="934" spans="1:12" ht="114.75">
      <c r="A934" s="40">
        <v>46266</v>
      </c>
      <c r="B934" s="38">
        <f t="shared" si="16"/>
        <v>36</v>
      </c>
      <c r="C934" s="39" t="s">
        <v>1822</v>
      </c>
      <c r="E934" s="38" t="s">
        <v>1296</v>
      </c>
      <c r="F934" s="38" t="s">
        <v>947</v>
      </c>
      <c r="G934" s="38" t="s">
        <v>916</v>
      </c>
      <c r="I934" s="38" t="s">
        <v>32</v>
      </c>
      <c r="J934" s="38" t="s">
        <v>34</v>
      </c>
      <c r="K934" s="39" t="s">
        <v>1823</v>
      </c>
      <c r="L934" s="40"/>
    </row>
    <row r="935" spans="1:12" ht="76.5">
      <c r="A935" s="40">
        <v>46266</v>
      </c>
      <c r="B935" s="38">
        <f t="shared" si="16"/>
        <v>36</v>
      </c>
      <c r="C935" s="39" t="s">
        <v>1824</v>
      </c>
      <c r="D935" s="38" t="s">
        <v>877</v>
      </c>
      <c r="E935" s="38" t="s">
        <v>1284</v>
      </c>
      <c r="F935" s="38" t="s">
        <v>990</v>
      </c>
      <c r="G935" s="38" t="s">
        <v>943</v>
      </c>
      <c r="I935" s="38" t="s">
        <v>225</v>
      </c>
      <c r="J935" s="38" t="s">
        <v>31</v>
      </c>
      <c r="K935" s="39" t="s">
        <v>1825</v>
      </c>
      <c r="L935" s="40"/>
    </row>
    <row r="936" spans="1:12" ht="38.25">
      <c r="A936" s="40">
        <v>46266</v>
      </c>
      <c r="B936" s="38">
        <f t="shared" si="16"/>
        <v>36</v>
      </c>
      <c r="C936" s="39" t="s">
        <v>1826</v>
      </c>
      <c r="E936" s="38" t="s">
        <v>1266</v>
      </c>
      <c r="F936" s="38" t="s">
        <v>990</v>
      </c>
      <c r="G936" s="38" t="s">
        <v>943</v>
      </c>
      <c r="I936" s="38" t="s">
        <v>225</v>
      </c>
      <c r="J936" s="38" t="s">
        <v>31</v>
      </c>
      <c r="K936" s="39" t="s">
        <v>1827</v>
      </c>
      <c r="L936" s="40"/>
    </row>
    <row r="937" spans="1:12" ht="102">
      <c r="A937" s="40">
        <v>46266</v>
      </c>
      <c r="B937" s="38">
        <f t="shared" si="16"/>
        <v>36</v>
      </c>
      <c r="C937" s="39" t="s">
        <v>1828</v>
      </c>
      <c r="D937" s="38" t="s">
        <v>879</v>
      </c>
      <c r="E937" s="38" t="s">
        <v>1278</v>
      </c>
      <c r="F937" s="38" t="s">
        <v>990</v>
      </c>
      <c r="G937" s="38" t="s">
        <v>943</v>
      </c>
      <c r="I937" s="38" t="s">
        <v>225</v>
      </c>
      <c r="J937" s="38" t="s">
        <v>31</v>
      </c>
      <c r="K937" s="39" t="s">
        <v>881</v>
      </c>
      <c r="L937" s="40"/>
    </row>
    <row r="938" spans="1:12" ht="113.25" customHeight="1">
      <c r="A938" s="40">
        <v>46266</v>
      </c>
      <c r="B938" s="38">
        <f t="shared" si="16"/>
        <v>36</v>
      </c>
      <c r="C938" s="39" t="s">
        <v>1829</v>
      </c>
      <c r="D938" s="38" t="s">
        <v>281</v>
      </c>
      <c r="E938" s="38" t="s">
        <v>1280</v>
      </c>
      <c r="F938" s="38" t="s">
        <v>947</v>
      </c>
      <c r="G938" s="38" t="s">
        <v>916</v>
      </c>
      <c r="I938" s="38" t="s">
        <v>32</v>
      </c>
      <c r="J938" s="38" t="s">
        <v>31</v>
      </c>
      <c r="K938" s="39" t="s">
        <v>1830</v>
      </c>
      <c r="L938" s="40"/>
    </row>
    <row r="939" spans="1:12" ht="25.5">
      <c r="A939" s="40">
        <v>46267</v>
      </c>
      <c r="B939" s="38">
        <f t="shared" si="16"/>
        <v>36</v>
      </c>
      <c r="C939" s="39" t="s">
        <v>1831</v>
      </c>
      <c r="E939" s="38" t="s">
        <v>1260</v>
      </c>
      <c r="F939" s="38" t="s">
        <v>915</v>
      </c>
      <c r="G939" s="38" t="s">
        <v>916</v>
      </c>
      <c r="L939" s="40"/>
    </row>
    <row r="940" spans="1:12" ht="127.5">
      <c r="A940" s="40">
        <v>46267</v>
      </c>
      <c r="B940" s="38">
        <f t="shared" si="16"/>
        <v>36</v>
      </c>
      <c r="C940" s="39" t="s">
        <v>1832</v>
      </c>
      <c r="K940" s="39" t="s">
        <v>1833</v>
      </c>
      <c r="L940" s="40"/>
    </row>
    <row r="941" spans="1:12" ht="242.25" customHeight="1">
      <c r="A941" s="40">
        <v>46267</v>
      </c>
      <c r="B941" s="38">
        <f t="shared" si="16"/>
        <v>36</v>
      </c>
      <c r="C941" s="39" t="s">
        <v>1834</v>
      </c>
      <c r="K941" s="39" t="s">
        <v>1835</v>
      </c>
      <c r="L941" s="40"/>
    </row>
    <row r="942" spans="1:12" ht="178.5">
      <c r="A942" s="40">
        <v>46267</v>
      </c>
      <c r="B942" s="38">
        <f t="shared" si="16"/>
        <v>36</v>
      </c>
      <c r="C942" s="39" t="s">
        <v>1375</v>
      </c>
      <c r="D942" s="38" t="s">
        <v>582</v>
      </c>
      <c r="K942" s="39" t="s">
        <v>1836</v>
      </c>
      <c r="L942" s="40"/>
    </row>
    <row r="943" spans="1:12" ht="63.75">
      <c r="A943" s="40">
        <v>46267</v>
      </c>
      <c r="B943" s="38">
        <f t="shared" si="16"/>
        <v>36</v>
      </c>
      <c r="C943" s="39" t="s">
        <v>1837</v>
      </c>
      <c r="K943" s="39" t="s">
        <v>1838</v>
      </c>
      <c r="L943" s="40"/>
    </row>
    <row r="944" spans="1:12">
      <c r="A944" s="40">
        <v>46267</v>
      </c>
      <c r="B944" s="38">
        <f t="shared" si="16"/>
        <v>36</v>
      </c>
      <c r="C944" s="39" t="s">
        <v>1839</v>
      </c>
      <c r="L944" s="40"/>
    </row>
    <row r="945" spans="1:12">
      <c r="A945" s="40">
        <v>46270</v>
      </c>
      <c r="B945" s="38">
        <v>36</v>
      </c>
      <c r="C945" s="39" t="s">
        <v>1362</v>
      </c>
      <c r="E945" s="38" t="s">
        <v>1260</v>
      </c>
      <c r="F945" s="38" t="s">
        <v>990</v>
      </c>
      <c r="G945" s="38" t="s">
        <v>943</v>
      </c>
      <c r="I945" s="38" t="s">
        <v>225</v>
      </c>
      <c r="J945" s="38" t="s">
        <v>31</v>
      </c>
      <c r="L945" s="40"/>
    </row>
    <row r="946" spans="1:12">
      <c r="A946" s="40">
        <v>46270</v>
      </c>
      <c r="B946" s="38">
        <v>36</v>
      </c>
      <c r="C946" s="39" t="s">
        <v>1379</v>
      </c>
      <c r="E946" s="38" t="s">
        <v>1263</v>
      </c>
      <c r="F946" s="38" t="s">
        <v>990</v>
      </c>
      <c r="G946" s="38" t="s">
        <v>943</v>
      </c>
      <c r="I946" s="38" t="s">
        <v>225</v>
      </c>
      <c r="J946" s="38" t="s">
        <v>31</v>
      </c>
      <c r="L946" s="40"/>
    </row>
    <row r="947" spans="1:12" ht="25.5">
      <c r="A947" s="40">
        <v>46270</v>
      </c>
      <c r="B947" s="38">
        <v>36</v>
      </c>
      <c r="C947" s="39" t="s">
        <v>1380</v>
      </c>
      <c r="E947" s="38" t="s">
        <v>1296</v>
      </c>
      <c r="F947" s="38" t="s">
        <v>990</v>
      </c>
      <c r="G947" s="38" t="s">
        <v>943</v>
      </c>
      <c r="I947" s="38" t="s">
        <v>225</v>
      </c>
      <c r="J947" s="38" t="s">
        <v>31</v>
      </c>
      <c r="K947" s="39" t="s">
        <v>1840</v>
      </c>
      <c r="L947" s="40"/>
    </row>
    <row r="948" spans="1:12" ht="63.75">
      <c r="A948" s="40">
        <v>46270</v>
      </c>
      <c r="B948" s="38">
        <v>36</v>
      </c>
      <c r="C948" s="39" t="s">
        <v>1381</v>
      </c>
      <c r="E948" s="38" t="s">
        <v>1284</v>
      </c>
      <c r="F948" s="38" t="s">
        <v>990</v>
      </c>
      <c r="G948" s="38" t="s">
        <v>943</v>
      </c>
      <c r="I948" s="38" t="s">
        <v>225</v>
      </c>
      <c r="J948" s="38" t="s">
        <v>31</v>
      </c>
      <c r="K948" s="39" t="s">
        <v>1841</v>
      </c>
      <c r="L948" s="40"/>
    </row>
    <row r="949" spans="1:12" ht="102">
      <c r="A949" s="40">
        <v>46270</v>
      </c>
      <c r="B949" s="38">
        <v>36</v>
      </c>
      <c r="C949" s="39" t="s">
        <v>1382</v>
      </c>
      <c r="E949" s="38" t="s">
        <v>1260</v>
      </c>
      <c r="F949" s="38" t="s">
        <v>990</v>
      </c>
      <c r="G949" s="38" t="s">
        <v>943</v>
      </c>
      <c r="I949" s="38" t="s">
        <v>225</v>
      </c>
      <c r="J949" s="38" t="s">
        <v>31</v>
      </c>
      <c r="K949" s="39" t="s">
        <v>1842</v>
      </c>
      <c r="L949" s="40"/>
    </row>
    <row r="950" spans="1:12" ht="159" customHeight="1">
      <c r="A950" s="40">
        <v>46270</v>
      </c>
      <c r="B950" s="38">
        <v>36</v>
      </c>
      <c r="C950" s="39" t="s">
        <v>1383</v>
      </c>
      <c r="E950" s="38" t="s">
        <v>1269</v>
      </c>
      <c r="F950" s="38" t="s">
        <v>961</v>
      </c>
      <c r="K950" s="39" t="s">
        <v>1843</v>
      </c>
      <c r="L950" s="40"/>
    </row>
    <row r="951" spans="1:12" ht="102">
      <c r="A951" s="40">
        <v>46270</v>
      </c>
      <c r="B951" s="38">
        <f t="shared" si="16"/>
        <v>36</v>
      </c>
      <c r="C951" s="39" t="s">
        <v>1844</v>
      </c>
      <c r="K951" s="39" t="s">
        <v>887</v>
      </c>
      <c r="L951" s="40"/>
    </row>
    <row r="952" spans="1:12" ht="127.5">
      <c r="A952" s="40">
        <v>46271</v>
      </c>
      <c r="B952" s="38">
        <f t="shared" si="16"/>
        <v>37</v>
      </c>
      <c r="C952" s="39" t="s">
        <v>1845</v>
      </c>
      <c r="E952" s="38" t="s">
        <v>1263</v>
      </c>
      <c r="F952" s="38" t="s">
        <v>926</v>
      </c>
      <c r="K952" s="39" t="s">
        <v>1846</v>
      </c>
      <c r="L952" s="40"/>
    </row>
    <row r="953" spans="1:12">
      <c r="A953" s="40">
        <v>46271</v>
      </c>
      <c r="B953" s="38">
        <f t="shared" si="16"/>
        <v>37</v>
      </c>
      <c r="C953" s="39" t="s">
        <v>1385</v>
      </c>
      <c r="E953" s="38" t="s">
        <v>1284</v>
      </c>
      <c r="F953" s="38" t="s">
        <v>947</v>
      </c>
      <c r="L953" s="40"/>
    </row>
    <row r="954" spans="1:12">
      <c r="A954" s="40">
        <v>46271</v>
      </c>
      <c r="B954" s="38">
        <f t="shared" si="16"/>
        <v>37</v>
      </c>
      <c r="C954" s="39" t="s">
        <v>1362</v>
      </c>
      <c r="E954" s="38" t="s">
        <v>1278</v>
      </c>
      <c r="L954" s="40"/>
    </row>
    <row r="955" spans="1:12" ht="89.25">
      <c r="A955" s="40">
        <v>46271</v>
      </c>
      <c r="B955" s="38">
        <f t="shared" si="16"/>
        <v>37</v>
      </c>
      <c r="C955" s="39" t="s">
        <v>1847</v>
      </c>
      <c r="D955" s="38" t="s">
        <v>293</v>
      </c>
      <c r="E955" s="38" t="s">
        <v>1280</v>
      </c>
      <c r="F955" s="38" t="s">
        <v>915</v>
      </c>
      <c r="G955" s="38" t="s">
        <v>916</v>
      </c>
      <c r="K955" s="39" t="s">
        <v>1848</v>
      </c>
      <c r="L955" s="40"/>
    </row>
    <row r="956" spans="1:12" ht="38.25">
      <c r="A956" s="40">
        <v>46271</v>
      </c>
      <c r="B956" s="38">
        <f t="shared" si="16"/>
        <v>37</v>
      </c>
      <c r="C956" s="39" t="s">
        <v>1849</v>
      </c>
      <c r="E956" s="38" t="s">
        <v>1488</v>
      </c>
      <c r="L956" s="40"/>
    </row>
    <row r="957" spans="1:12" ht="140.25">
      <c r="A957" s="40">
        <v>46272</v>
      </c>
      <c r="B957" s="38">
        <f t="shared" si="16"/>
        <v>37</v>
      </c>
      <c r="C957" s="39" t="s">
        <v>1850</v>
      </c>
      <c r="D957" s="38" t="s">
        <v>293</v>
      </c>
      <c r="E957" s="38" t="s">
        <v>1260</v>
      </c>
      <c r="F957" s="38" t="s">
        <v>926</v>
      </c>
      <c r="G957" s="38" t="s">
        <v>943</v>
      </c>
      <c r="H957" s="38" t="s">
        <v>30</v>
      </c>
      <c r="I957" s="38" t="s">
        <v>35</v>
      </c>
      <c r="J957" s="38" t="s">
        <v>31</v>
      </c>
      <c r="K957" s="39" t="s">
        <v>1851</v>
      </c>
      <c r="L957" s="40"/>
    </row>
    <row r="958" spans="1:12" ht="89.25">
      <c r="A958" s="40">
        <v>46272</v>
      </c>
      <c r="B958" s="38">
        <f t="shared" si="16"/>
        <v>37</v>
      </c>
      <c r="C958" s="39" t="s">
        <v>1795</v>
      </c>
      <c r="D958" s="38" t="s">
        <v>895</v>
      </c>
      <c r="E958" s="38" t="s">
        <v>1284</v>
      </c>
      <c r="F958" s="38" t="s">
        <v>990</v>
      </c>
      <c r="G958" s="38" t="s">
        <v>943</v>
      </c>
      <c r="I958" s="38" t="s">
        <v>225</v>
      </c>
      <c r="J958" s="38" t="s">
        <v>31</v>
      </c>
      <c r="K958" s="39" t="s">
        <v>1852</v>
      </c>
      <c r="L958" s="40"/>
    </row>
    <row r="959" spans="1:12">
      <c r="A959" s="40">
        <v>46272</v>
      </c>
      <c r="B959" s="38">
        <f t="shared" si="16"/>
        <v>37</v>
      </c>
      <c r="C959" s="39" t="s">
        <v>1853</v>
      </c>
      <c r="L959" s="40"/>
    </row>
    <row r="960" spans="1:12" ht="162.75" customHeight="1">
      <c r="A960" s="40">
        <v>46272</v>
      </c>
      <c r="B960" s="38">
        <f>WEEKNUM(A960)</f>
        <v>37</v>
      </c>
      <c r="C960" s="39" t="s">
        <v>1854</v>
      </c>
      <c r="D960" s="38" t="s">
        <v>903</v>
      </c>
      <c r="F960" s="38" t="s">
        <v>915</v>
      </c>
      <c r="G960" s="38" t="s">
        <v>916</v>
      </c>
      <c r="H960" s="38" t="s">
        <v>30</v>
      </c>
      <c r="I960" s="38" t="s">
        <v>225</v>
      </c>
      <c r="J960" s="38" t="s">
        <v>31</v>
      </c>
      <c r="K960" s="39" t="s">
        <v>1855</v>
      </c>
      <c r="L960" s="40"/>
    </row>
    <row r="961" spans="1:12" ht="66.75" customHeight="1">
      <c r="A961" s="40">
        <v>46273</v>
      </c>
      <c r="B961" s="38">
        <f t="shared" si="16"/>
        <v>37</v>
      </c>
      <c r="C961" s="39" t="s">
        <v>1856</v>
      </c>
      <c r="E961" s="38" t="s">
        <v>1260</v>
      </c>
      <c r="J961" s="38" t="s">
        <v>34</v>
      </c>
      <c r="K961" s="39" t="s">
        <v>1857</v>
      </c>
      <c r="L961" s="40"/>
    </row>
    <row r="962" spans="1:12" ht="25.5">
      <c r="A962" s="40">
        <v>46273</v>
      </c>
      <c r="B962" s="38">
        <f t="shared" si="16"/>
        <v>37</v>
      </c>
      <c r="C962" s="39" t="s">
        <v>1858</v>
      </c>
      <c r="E962" s="38" t="s">
        <v>1263</v>
      </c>
      <c r="J962" s="38" t="s">
        <v>34</v>
      </c>
      <c r="L962" s="40"/>
    </row>
    <row r="963" spans="1:12" ht="89.25">
      <c r="A963" s="40">
        <v>46273</v>
      </c>
      <c r="B963" s="38">
        <f t="shared" si="16"/>
        <v>37</v>
      </c>
      <c r="C963" s="39" t="s">
        <v>1859</v>
      </c>
      <c r="D963" s="38" t="s">
        <v>898</v>
      </c>
      <c r="E963" s="38" t="s">
        <v>1296</v>
      </c>
      <c r="F963" s="38" t="s">
        <v>990</v>
      </c>
      <c r="G963" s="38" t="s">
        <v>943</v>
      </c>
      <c r="H963" s="38" t="s">
        <v>30</v>
      </c>
      <c r="I963" s="38" t="s">
        <v>225</v>
      </c>
      <c r="J963" s="38" t="s">
        <v>34</v>
      </c>
      <c r="K963" s="39" t="s">
        <v>900</v>
      </c>
      <c r="L963" s="40"/>
    </row>
    <row r="964" spans="1:12">
      <c r="A964" s="348"/>
      <c r="B964" s="349"/>
      <c r="C964" s="294"/>
      <c r="D964" s="349"/>
      <c r="E964" s="349"/>
      <c r="F964" s="349"/>
      <c r="G964" s="349"/>
      <c r="H964" s="349"/>
      <c r="I964" s="349"/>
      <c r="L964" s="40"/>
    </row>
    <row r="965" spans="1:12" ht="102">
      <c r="A965" s="40">
        <v>46274</v>
      </c>
      <c r="B965" s="38">
        <f t="shared" si="16"/>
        <v>37</v>
      </c>
      <c r="C965" s="39" t="s">
        <v>1860</v>
      </c>
      <c r="D965" s="38" t="s">
        <v>901</v>
      </c>
      <c r="F965" s="38" t="s">
        <v>990</v>
      </c>
      <c r="G965" s="38" t="s">
        <v>943</v>
      </c>
      <c r="I965" s="38" t="s">
        <v>225</v>
      </c>
      <c r="K965" s="39" t="s">
        <v>1861</v>
      </c>
      <c r="L965" s="40"/>
    </row>
    <row r="966" spans="1:12" ht="114.75">
      <c r="A966" s="40">
        <v>46274</v>
      </c>
      <c r="B966" s="38">
        <f t="shared" si="16"/>
        <v>37</v>
      </c>
      <c r="C966" s="39" t="s">
        <v>1862</v>
      </c>
      <c r="D966" s="38" t="s">
        <v>601</v>
      </c>
      <c r="F966" s="38" t="s">
        <v>990</v>
      </c>
      <c r="G966" s="38" t="s">
        <v>943</v>
      </c>
      <c r="H966" s="38" t="s">
        <v>30</v>
      </c>
      <c r="I966" s="38" t="s">
        <v>225</v>
      </c>
      <c r="J966" s="38" t="s">
        <v>31</v>
      </c>
      <c r="K966" s="39" t="s">
        <v>1863</v>
      </c>
      <c r="L966" s="40"/>
    </row>
    <row r="967" spans="1:12" ht="38.25">
      <c r="A967" s="40">
        <v>46274</v>
      </c>
      <c r="B967" s="38">
        <f t="shared" si="16"/>
        <v>37</v>
      </c>
      <c r="C967" s="39" t="s">
        <v>1864</v>
      </c>
      <c r="F967" s="38" t="s">
        <v>990</v>
      </c>
      <c r="G967" s="38" t="s">
        <v>943</v>
      </c>
      <c r="I967" s="38" t="s">
        <v>225</v>
      </c>
      <c r="J967" s="38" t="s">
        <v>31</v>
      </c>
      <c r="K967" s="39" t="s">
        <v>1865</v>
      </c>
      <c r="L967" s="40"/>
    </row>
    <row r="968" spans="1:12" ht="140.25">
      <c r="A968" s="40">
        <v>46274</v>
      </c>
      <c r="B968" s="38">
        <f t="shared" si="16"/>
        <v>37</v>
      </c>
      <c r="C968" s="39" t="s">
        <v>1866</v>
      </c>
      <c r="F968" s="38" t="s">
        <v>926</v>
      </c>
      <c r="G968" s="38" t="s">
        <v>943</v>
      </c>
      <c r="H968" s="38" t="s">
        <v>30</v>
      </c>
      <c r="I968" s="38" t="s">
        <v>225</v>
      </c>
      <c r="J968" s="38" t="s">
        <v>31</v>
      </c>
      <c r="K968" s="39" t="s">
        <v>1867</v>
      </c>
      <c r="L968" s="40"/>
    </row>
    <row r="969" spans="1:12">
      <c r="A969" s="40"/>
      <c r="B969" s="38">
        <f t="shared" si="16"/>
        <v>0</v>
      </c>
      <c r="L969" s="40"/>
    </row>
    <row r="970" spans="1:12">
      <c r="A970" s="40"/>
      <c r="B970" s="38">
        <f t="shared" si="16"/>
        <v>0</v>
      </c>
      <c r="L970" s="40"/>
    </row>
    <row r="971" spans="1:12">
      <c r="A971" s="40"/>
      <c r="B971" s="38">
        <f t="shared" si="16"/>
        <v>0</v>
      </c>
      <c r="L971" s="40"/>
    </row>
    <row r="972" spans="1:12">
      <c r="A972" s="40"/>
      <c r="B972" s="38">
        <f t="shared" ref="B972:B1001" si="17">WEEKNUM(A972)</f>
        <v>0</v>
      </c>
      <c r="L972" s="40"/>
    </row>
    <row r="973" spans="1:12">
      <c r="A973" s="40"/>
      <c r="B973" s="38">
        <f t="shared" si="17"/>
        <v>0</v>
      </c>
      <c r="L973" s="40"/>
    </row>
    <row r="974" spans="1:12">
      <c r="A974" s="40"/>
      <c r="B974" s="38">
        <f t="shared" si="17"/>
        <v>0</v>
      </c>
      <c r="L974" s="40"/>
    </row>
    <row r="975" spans="1:12">
      <c r="A975" s="40"/>
      <c r="B975" s="38">
        <f t="shared" si="17"/>
        <v>0</v>
      </c>
      <c r="L975" s="40"/>
    </row>
    <row r="976" spans="1:12">
      <c r="A976" s="40"/>
      <c r="B976" s="38">
        <f t="shared" si="17"/>
        <v>0</v>
      </c>
      <c r="L976" s="40"/>
    </row>
    <row r="977" spans="1:12">
      <c r="A977" s="40"/>
      <c r="B977" s="38">
        <f t="shared" si="17"/>
        <v>0</v>
      </c>
      <c r="L977" s="40"/>
    </row>
    <row r="978" spans="1:12">
      <c r="A978" s="40"/>
      <c r="B978" s="38">
        <f t="shared" si="17"/>
        <v>0</v>
      </c>
      <c r="L978" s="40"/>
    </row>
    <row r="979" spans="1:12">
      <c r="A979" s="40"/>
      <c r="B979" s="38">
        <f t="shared" si="17"/>
        <v>0</v>
      </c>
      <c r="L979" s="40"/>
    </row>
    <row r="980" spans="1:12">
      <c r="A980" s="40"/>
      <c r="B980" s="38">
        <f t="shared" si="17"/>
        <v>0</v>
      </c>
      <c r="L980" s="40"/>
    </row>
    <row r="981" spans="1:12">
      <c r="A981" s="40"/>
      <c r="B981" s="38">
        <f t="shared" si="17"/>
        <v>0</v>
      </c>
      <c r="L981" s="40"/>
    </row>
    <row r="982" spans="1:12">
      <c r="A982" s="40"/>
      <c r="B982" s="38">
        <f t="shared" si="17"/>
        <v>0</v>
      </c>
      <c r="L982" s="40"/>
    </row>
    <row r="983" spans="1:12">
      <c r="A983" s="40"/>
      <c r="B983" s="38">
        <f t="shared" si="17"/>
        <v>0</v>
      </c>
      <c r="L983" s="40"/>
    </row>
    <row r="984" spans="1:12">
      <c r="A984" s="40"/>
      <c r="B984" s="38">
        <f t="shared" si="17"/>
        <v>0</v>
      </c>
      <c r="L984" s="40"/>
    </row>
    <row r="985" spans="1:12">
      <c r="A985" s="40"/>
      <c r="B985" s="38">
        <f t="shared" si="17"/>
        <v>0</v>
      </c>
      <c r="L985" s="40"/>
    </row>
    <row r="986" spans="1:12">
      <c r="A986" s="40"/>
      <c r="B986" s="38">
        <f t="shared" si="17"/>
        <v>0</v>
      </c>
      <c r="L986" s="40"/>
    </row>
    <row r="987" spans="1:12">
      <c r="A987" s="40"/>
      <c r="B987" s="38">
        <f t="shared" si="17"/>
        <v>0</v>
      </c>
      <c r="L987" s="40"/>
    </row>
    <row r="988" spans="1:12">
      <c r="A988" s="40"/>
      <c r="B988" s="38">
        <f t="shared" si="17"/>
        <v>0</v>
      </c>
      <c r="L988" s="40"/>
    </row>
    <row r="989" spans="1:12">
      <c r="A989" s="40"/>
      <c r="B989" s="38">
        <f t="shared" si="17"/>
        <v>0</v>
      </c>
      <c r="L989" s="40"/>
    </row>
    <row r="990" spans="1:12">
      <c r="A990" s="40"/>
      <c r="B990" s="38">
        <f t="shared" si="17"/>
        <v>0</v>
      </c>
      <c r="L990" s="40"/>
    </row>
    <row r="991" spans="1:12">
      <c r="A991" s="40"/>
      <c r="B991" s="38">
        <f t="shared" si="17"/>
        <v>0</v>
      </c>
      <c r="L991" s="40"/>
    </row>
    <row r="992" spans="1:12">
      <c r="A992" s="40"/>
      <c r="B992" s="38">
        <f t="shared" si="17"/>
        <v>0</v>
      </c>
      <c r="L992" s="40"/>
    </row>
    <row r="993" spans="1:12">
      <c r="A993" s="40"/>
      <c r="B993" s="38">
        <f t="shared" si="17"/>
        <v>0</v>
      </c>
      <c r="L993" s="40"/>
    </row>
    <row r="994" spans="1:12">
      <c r="A994" s="40"/>
      <c r="B994" s="38">
        <f t="shared" si="17"/>
        <v>0</v>
      </c>
      <c r="L994" s="40"/>
    </row>
    <row r="995" spans="1:12">
      <c r="A995" s="40"/>
      <c r="B995" s="38">
        <f t="shared" si="17"/>
        <v>0</v>
      </c>
      <c r="L995" s="40"/>
    </row>
    <row r="996" spans="1:12">
      <c r="A996" s="40"/>
      <c r="B996" s="38">
        <f t="shared" si="17"/>
        <v>0</v>
      </c>
      <c r="L996" s="40"/>
    </row>
    <row r="997" spans="1:12">
      <c r="A997" s="40"/>
      <c r="B997" s="38">
        <f t="shared" si="17"/>
        <v>0</v>
      </c>
      <c r="L997" s="40"/>
    </row>
    <row r="998" spans="1:12">
      <c r="A998" s="40"/>
      <c r="B998" s="38">
        <f t="shared" si="17"/>
        <v>0</v>
      </c>
      <c r="L998" s="40"/>
    </row>
    <row r="999" spans="1:12">
      <c r="A999" s="40"/>
      <c r="B999" s="38">
        <f t="shared" si="17"/>
        <v>0</v>
      </c>
      <c r="L999" s="40"/>
    </row>
    <row r="1000" spans="1:12">
      <c r="A1000" s="40"/>
      <c r="B1000" s="38">
        <f t="shared" si="17"/>
        <v>0</v>
      </c>
      <c r="L1000" s="40"/>
    </row>
    <row r="1001" spans="1:12">
      <c r="A1001" s="40"/>
      <c r="B1001" s="38">
        <f t="shared" si="17"/>
        <v>0</v>
      </c>
      <c r="L1001" s="40"/>
    </row>
  </sheetData>
  <autoFilter ref="A1:K602" xr:uid="{E18C4E4C-0B2F-4914-9AC1-F1DA39CF698C}">
    <filterColumn colId="1">
      <filters>
        <filter val="18"/>
        <filter val="19"/>
      </filters>
    </filterColumn>
  </autoFilter>
  <conditionalFormatting sqref="A314:L647 A648:B648 D648:L648 A649:L699 A700:E700 G700:L700 A701:L743 A743:B744 D744:L744 A745:L757 A758:J758 L758 A759:L775 A776:B776 L776:L781 B777:B781 A783:L794 A795:B795 D795:L795 A796:L801 B802:L806 A807:L860 A861:B865 K861:L865 A866:L913 A914:B919 K914:L919 H914:H922 A920:G920 I920:L922 B921:G922 A921:A925 B923:L925 A926:L1001">
    <cfRule type="cellIs" dxfId="72" priority="159" operator="equal">
      <formula>"Hunting"</formula>
    </cfRule>
  </conditionalFormatting>
  <conditionalFormatting sqref="A1:M47 A48:B48 D48:M48 A49:G49 I49:M49 A50:M313">
    <cfRule type="cellIs" dxfId="71" priority="164" operator="equal">
      <formula>"Hunting"</formula>
    </cfRule>
  </conditionalFormatting>
  <conditionalFormatting sqref="B715">
    <cfRule type="cellIs" dxfId="70" priority="121" operator="equal">
      <formula>"Mohamed Radwan"</formula>
    </cfRule>
    <cfRule type="cellIs" dxfId="69" priority="120" operator="equal">
      <formula>"Abdelrahman El-Kaffas"</formula>
    </cfRule>
  </conditionalFormatting>
  <conditionalFormatting sqref="B782:L782 A603:A609 A777:A782">
    <cfRule type="cellIs" dxfId="68" priority="143" operator="equal">
      <formula>"Hunting"</formula>
    </cfRule>
  </conditionalFormatting>
  <conditionalFormatting sqref="B782:XFD782 A1:XFD47 A48:B48 D48:XFD48 A49:G49 I49:XFD49 A50:XFD647 A648:B648 D648:XFD648 A649:XFD699 A700:E700 G700:XFD700 A701:XFD743 A743:B744 D744:XFD744 A745:XFD757 A758:J758 L758:XFD758 A759:XFD775 A776:B776 L776:XFD781 B777:B781 A777:A782 A783:XFD794 A795:B795 D795:XFD795 A796:XFD801 B802:XFD806 A807:XFD860 A861:B865 K861:XFD865 A866:XFD913 A914:B919 K914:XFD919 H914:H922 A920:G920 I920:XFD922 B921:G922 A921:A925 B923:XFD925 A926:XFD1048576">
    <cfRule type="cellIs" dxfId="67" priority="163" operator="equal">
      <formula>"Office Stuff"</formula>
    </cfRule>
  </conditionalFormatting>
  <conditionalFormatting sqref="C610">
    <cfRule type="cellIs" dxfId="66" priority="137" operator="equal">
      <formula>"Hunting"</formula>
    </cfRule>
  </conditionalFormatting>
  <conditionalFormatting sqref="C606:K606 D607:D608">
    <cfRule type="cellIs" dxfId="65" priority="139" operator="equal">
      <formula>"Hunting"</formula>
    </cfRule>
  </conditionalFormatting>
  <conditionalFormatting sqref="C724:K724">
    <cfRule type="cellIs" dxfId="64" priority="119" operator="equal">
      <formula>"Hunting"</formula>
    </cfRule>
  </conditionalFormatting>
  <conditionalFormatting sqref="D1:D1048576">
    <cfRule type="cellIs" dxfId="63" priority="8" operator="equal">
      <formula>"Abdelrahman El-Kaffas"</formula>
    </cfRule>
    <cfRule type="cellIs" dxfId="62" priority="9" operator="equal">
      <formula>"Mohamed Radwan"</formula>
    </cfRule>
  </conditionalFormatting>
  <conditionalFormatting sqref="F776:F782">
    <cfRule type="expression" dxfId="61" priority="62">
      <formula>F776="Online Meeting"</formula>
    </cfRule>
    <cfRule type="expression" dxfId="60" priority="59">
      <formula>F776="F2F Meeting"</formula>
    </cfRule>
    <cfRule type="expression" dxfId="59" priority="61">
      <formula>F776="Office Stuff"</formula>
    </cfRule>
    <cfRule type="expression" dxfId="58" priority="60">
      <formula>F776="Hunting"</formula>
    </cfRule>
    <cfRule type="expression" dxfId="57" priority="58">
      <formula>F776="Call"</formula>
    </cfRule>
  </conditionalFormatting>
  <conditionalFormatting sqref="F861:F865">
    <cfRule type="expression" dxfId="56" priority="42">
      <formula>F861="Online Meeting"</formula>
    </cfRule>
    <cfRule type="expression" dxfId="55" priority="40">
      <formula>F861="Hunting"</formula>
    </cfRule>
    <cfRule type="expression" dxfId="54" priority="39">
      <formula>F861="F2F Meeting"</formula>
    </cfRule>
    <cfRule type="expression" dxfId="53" priority="41">
      <formula>F861="Office Stuff"</formula>
    </cfRule>
    <cfRule type="expression" dxfId="52" priority="38">
      <formula>F861="Call"</formula>
    </cfRule>
  </conditionalFormatting>
  <conditionalFormatting sqref="F914:F919">
    <cfRule type="expression" dxfId="51" priority="16">
      <formula>F914="Call"</formula>
    </cfRule>
    <cfRule type="expression" dxfId="50" priority="17">
      <formula>F914="F2F Meeting"</formula>
    </cfRule>
    <cfRule type="expression" dxfId="49" priority="18">
      <formula>F914="Hunting"</formula>
    </cfRule>
    <cfRule type="expression" dxfId="48" priority="20">
      <formula>F914="Online Meeting"</formula>
    </cfRule>
    <cfRule type="expression" dxfId="47" priority="19">
      <formula>F914="Office Stuff"</formula>
    </cfRule>
  </conditionalFormatting>
  <conditionalFormatting sqref="H776:H782">
    <cfRule type="expression" dxfId="46" priority="100">
      <formula>H776="In Hand"</formula>
    </cfRule>
    <cfRule type="expression" dxfId="45" priority="101">
      <formula>H776="Tender"</formula>
    </cfRule>
  </conditionalFormatting>
  <conditionalFormatting sqref="H861:H865">
    <cfRule type="expression" dxfId="44" priority="44">
      <formula>H861="Tender"</formula>
    </cfRule>
    <cfRule type="expression" dxfId="43" priority="43">
      <formula>H861="In Hand"</formula>
    </cfRule>
  </conditionalFormatting>
  <conditionalFormatting sqref="H610:J616">
    <cfRule type="cellIs" dxfId="42" priority="128" operator="equal">
      <formula>"Hunting"</formula>
    </cfRule>
  </conditionalFormatting>
  <conditionalFormatting sqref="H624:J624">
    <cfRule type="cellIs" dxfId="41" priority="122" operator="equal">
      <formula>"Hunting"</formula>
    </cfRule>
  </conditionalFormatting>
  <conditionalFormatting sqref="I776:I782">
    <cfRule type="containsText" dxfId="40" priority="56" operator="containsText" text="Send">
      <formula>NOT(ISERROR(SEARCH("Send",I776)))</formula>
    </cfRule>
    <cfRule type="containsText" dxfId="39" priority="57" operator="containsText" text="Hold">
      <formula>NOT(ISERROR(SEARCH("Hold",I776)))</formula>
    </cfRule>
    <cfRule type="containsText" dxfId="38" priority="55" operator="containsText" text="Lost">
      <formula>NOT(ISERROR(SEARCH("Lost",I776)))</formula>
    </cfRule>
    <cfRule type="containsText" dxfId="37" priority="54" operator="containsText" text="Gather">
      <formula>NOT(ISERROR(SEARCH("Gather",I776)))</formula>
    </cfRule>
    <cfRule type="containsText" dxfId="36" priority="53" operator="containsText" text="Negotiation">
      <formula>NOT(ISERROR(SEARCH("Negotiation",I776)))</formula>
    </cfRule>
    <cfRule type="containsText" dxfId="35" priority="52" operator="containsText" text="RFQ">
      <formula>NOT(ISERROR(SEARCH("RFQ",I776)))</formula>
    </cfRule>
  </conditionalFormatting>
  <conditionalFormatting sqref="I861:I865">
    <cfRule type="containsText" dxfId="34" priority="34" operator="containsText" text="Gather">
      <formula>NOT(ISERROR(SEARCH("Gather",I861)))</formula>
    </cfRule>
    <cfRule type="containsText" dxfId="33" priority="35" operator="containsText" text="Lost">
      <formula>NOT(ISERROR(SEARCH("Lost",I861)))</formula>
    </cfRule>
    <cfRule type="containsText" dxfId="32" priority="36" operator="containsText" text="Send">
      <formula>NOT(ISERROR(SEARCH("Send",I861)))</formula>
    </cfRule>
    <cfRule type="containsText" dxfId="31" priority="37" operator="containsText" text="Hold">
      <formula>NOT(ISERROR(SEARCH("Hold",I861)))</formula>
    </cfRule>
    <cfRule type="containsText" dxfId="30" priority="32" operator="containsText" text="RFQ">
      <formula>NOT(ISERROR(SEARCH("RFQ",I861)))</formula>
    </cfRule>
    <cfRule type="containsText" dxfId="29" priority="33" operator="containsText" text="Negotiation">
      <formula>NOT(ISERROR(SEARCH("Negotiation",I861)))</formula>
    </cfRule>
  </conditionalFormatting>
  <conditionalFormatting sqref="I914:I919">
    <cfRule type="containsText" dxfId="28" priority="15" operator="containsText" text="Hold">
      <formula>NOT(ISERROR(SEARCH("Hold",I914)))</formula>
    </cfRule>
    <cfRule type="containsText" dxfId="27" priority="14" operator="containsText" text="Send">
      <formula>NOT(ISERROR(SEARCH("Send",I914)))</formula>
    </cfRule>
    <cfRule type="containsText" dxfId="26" priority="13" operator="containsText" text="Lost">
      <formula>NOT(ISERROR(SEARCH("Lost",I914)))</formula>
    </cfRule>
    <cfRule type="containsText" dxfId="25" priority="12" operator="containsText" text="Gather">
      <formula>NOT(ISERROR(SEARCH("Gather",I914)))</formula>
    </cfRule>
    <cfRule type="containsText" dxfId="24" priority="11" operator="containsText" text="Negotiation">
      <formula>NOT(ISERROR(SEARCH("Negotiation",I914)))</formula>
    </cfRule>
    <cfRule type="containsText" dxfId="23" priority="10" operator="containsText" text="RFQ">
      <formula>NOT(ISERROR(SEARCH("RFQ",I914)))</formula>
    </cfRule>
  </conditionalFormatting>
  <conditionalFormatting sqref="J617:J619">
    <cfRule type="cellIs" dxfId="22" priority="124" operator="equal">
      <formula>"Hunting"</formula>
    </cfRule>
  </conditionalFormatting>
  <conditionalFormatting sqref="J622">
    <cfRule type="cellIs" dxfId="21" priority="123" operator="equal">
      <formula>"Hunting"</formula>
    </cfRule>
  </conditionalFormatting>
  <conditionalFormatting sqref="J776:J782">
    <cfRule type="containsText" dxfId="20" priority="49" operator="containsText" text="Riyadh">
      <formula>NOT(ISERROR(SEARCH("Riyadh",J776)))</formula>
    </cfRule>
    <cfRule type="containsText" dxfId="19" priority="50" operator="containsText" text="Khobar">
      <formula>NOT(ISERROR(SEARCH("Khobar",J776)))</formula>
    </cfRule>
    <cfRule type="containsText" dxfId="18" priority="51" operator="containsText" text="RedSea">
      <formula>NOT(ISERROR(SEARCH("RedSea",J776)))</formula>
    </cfRule>
    <cfRule type="containsText" dxfId="17" priority="45" operator="containsText" text="Office">
      <formula>NOT(ISERROR(SEARCH("Office",J776)))</formula>
    </cfRule>
    <cfRule type="containsText" dxfId="16" priority="46" operator="containsText" text="Jeddah">
      <formula>NOT(ISERROR(SEARCH("Jeddah",J776)))</formula>
    </cfRule>
    <cfRule type="containsText" dxfId="15" priority="47" operator="containsText" text="Makkah">
      <formula>NOT(ISERROR(SEARCH("Makkah",J776)))</formula>
    </cfRule>
    <cfRule type="containsText" dxfId="14" priority="48" operator="containsText" text="Madin">
      <formula>NOT(ISERROR(SEARCH("Madin",J776)))</formula>
    </cfRule>
  </conditionalFormatting>
  <conditionalFormatting sqref="J861:J865">
    <cfRule type="containsText" dxfId="13" priority="26" operator="containsText" text="Madin">
      <formula>NOT(ISERROR(SEARCH("Madin",J861)))</formula>
    </cfRule>
    <cfRule type="containsText" dxfId="12" priority="25" operator="containsText" text="Makkah">
      <formula>NOT(ISERROR(SEARCH("Makkah",J861)))</formula>
    </cfRule>
    <cfRule type="containsText" dxfId="11" priority="24" operator="containsText" text="Jeddah">
      <formula>NOT(ISERROR(SEARCH("Jeddah",J861)))</formula>
    </cfRule>
    <cfRule type="containsText" dxfId="10" priority="23" operator="containsText" text="Office">
      <formula>NOT(ISERROR(SEARCH("Office",J861)))</formula>
    </cfRule>
    <cfRule type="containsText" dxfId="9" priority="29" operator="containsText" text="RedSea">
      <formula>NOT(ISERROR(SEARCH("RedSea",J861)))</formula>
    </cfRule>
    <cfRule type="containsText" dxfId="8" priority="28" operator="containsText" text="Khobar">
      <formula>NOT(ISERROR(SEARCH("Khobar",J861)))</formula>
    </cfRule>
    <cfRule type="containsText" dxfId="7" priority="27" operator="containsText" text="Riyadh">
      <formula>NOT(ISERROR(SEARCH("Riyadh",J861)))</formula>
    </cfRule>
  </conditionalFormatting>
  <conditionalFormatting sqref="J914:J919">
    <cfRule type="containsText" dxfId="6" priority="1" operator="containsText" text="Office">
      <formula>NOT(ISERROR(SEARCH("Office",J914)))</formula>
    </cfRule>
    <cfRule type="containsText" dxfId="5" priority="7" operator="containsText" text="RedSea">
      <formula>NOT(ISERROR(SEARCH("RedSea",J914)))</formula>
    </cfRule>
    <cfRule type="containsText" dxfId="4" priority="6" operator="containsText" text="Khobar">
      <formula>NOT(ISERROR(SEARCH("Khobar",J914)))</formula>
    </cfRule>
    <cfRule type="containsText" dxfId="3" priority="5" operator="containsText" text="Riyadh">
      <formula>NOT(ISERROR(SEARCH("Riyadh",J914)))</formula>
    </cfRule>
    <cfRule type="containsText" dxfId="2" priority="4" operator="containsText" text="Madin">
      <formula>NOT(ISERROR(SEARCH("Madin",J914)))</formula>
    </cfRule>
    <cfRule type="containsText" dxfId="1" priority="3" operator="containsText" text="Makkah">
      <formula>NOT(ISERROR(SEARCH("Makkah",J914)))</formula>
    </cfRule>
    <cfRule type="containsText" dxfId="0" priority="2" operator="containsText" text="Jeddah">
      <formula>NOT(ISERROR(SEARCH("Jeddah",J914)))</formula>
    </cfRule>
  </conditionalFormatting>
  <dataValidations count="2">
    <dataValidation allowBlank="1" showInputMessage="1" showErrorMessage="1" sqref="B1002:C1048576 C776:C781 C861:C863 C865 C914:C919" xr:uid="{4A4A9810-7761-4D95-B084-D0591374F7FF}"/>
    <dataValidation type="date" allowBlank="1" showInputMessage="1" showErrorMessage="1" sqref="A2:A714 J715 A716:A801 L2:L1001 A807:A1001" xr:uid="{A5251752-1832-490C-BA7B-F0E542494B42}">
      <formula1>46023</formula1>
      <formula2>46388</formula2>
    </dataValidation>
  </dataValidations>
  <hyperlinks>
    <hyperlink ref="K905" r:id="rId1" xr:uid="{8C4B5CC3-EA06-4D8F-B2D0-921C54E475C0}"/>
    <hyperlink ref="K906" r:id="rId2" xr:uid="{AA6A80B9-E46D-42B6-B7FA-07E48D6FC59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FFFD074-08C5-48ED-A7FC-C729F905E8EB}">
          <x14:formula1>
            <xm:f>'Data Validation'!$A$2:$A$4</xm:f>
          </x14:formula1>
          <xm:sqref>I12:I13 I49 H2:H48 H50:H714 F715 H716:H1048576</xm:sqref>
        </x14:dataValidation>
        <x14:dataValidation type="list" allowBlank="1" showInputMessage="1" showErrorMessage="1" xr:uid="{2E40ED58-4FE9-4972-8F2F-7FC90D0B0F0D}">
          <x14:formula1>
            <xm:f>'Data Validation'!$E$2:$E$7</xm:f>
          </x14:formula1>
          <xm:sqref>H41:H43 G2:G714 E715 G716:G1048576</xm:sqref>
        </x14:dataValidation>
        <x14:dataValidation type="list" allowBlank="1" showInputMessage="1" showErrorMessage="1" xr:uid="{C3288B7A-906C-41B2-9F49-6AA4E347F802}">
          <x14:formula1>
            <xm:f>'Data Validation'!$B$2:$B$13</xm:f>
          </x14:formula1>
          <xm:sqref>I2:I125 I314:I714 G715 I716:I1001</xm:sqref>
        </x14:dataValidation>
        <x14:dataValidation type="list" allowBlank="1" showInputMessage="1" showErrorMessage="1" xr:uid="{FACE66C8-4C01-49BA-8360-E31AF7BFBE2E}">
          <x14:formula1>
            <xm:f>'Data Validation'!$F$2:$F$11</xm:f>
          </x14:formula1>
          <xm:sqref>E2:E714 C715 E716:E1048576</xm:sqref>
        </x14:dataValidation>
        <x14:dataValidation type="list" allowBlank="1" showInputMessage="1" showErrorMessage="1" xr:uid="{E43E65CD-1A8D-4103-AD77-16AF27529C79}">
          <x14:formula1>
            <xm:f>'Data Validation'!$C$2:$C$32</xm:f>
          </x14:formula1>
          <xm:sqref>J2:J714 H715 J716:J1001</xm:sqref>
        </x14:dataValidation>
        <x14:dataValidation type="list" allowBlank="1" showInputMessage="1" showErrorMessage="1" xr:uid="{CBA1E11F-1E18-4AA5-95D2-CF6CAB1716AE}">
          <x14:formula1>
            <xm:f>'Hot Leads'!$A$2:$A$1041</xm:f>
          </x14:formula1>
          <xm:sqref>D2:D714 B715 D716:D1048576</xm:sqref>
        </x14:dataValidation>
        <x14:dataValidation type="list" allowBlank="1" showInputMessage="1" showErrorMessage="1" xr:uid="{0E3EEB9A-653B-4AF0-A957-D10ECC8F246E}">
          <x14:formula1>
            <xm:f>'Data Validation'!$K$2:$K$8</xm:f>
          </x14:formula1>
          <xm:sqref>F2:F699 G700 F701:F714 D715 F716:F775 F782:F860 F866:F913 F920:F1048576</xm:sqref>
        </x14:dataValidation>
        <x14:dataValidation type="list" allowBlank="1" showInputMessage="1" showErrorMessage="1" xr:uid="{BDB4939F-8684-4932-8D6B-E18F86F210C1}">
          <x14:formula1>
            <xm:f>'Data Validation'!$K$2:$K$7</xm:f>
          </x14:formula1>
          <xm:sqref>F776:F782 F861:F865 F914:F919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CC3E-5CDA-45B2-B426-A3C51D8348DE}">
  <dimension ref="A1:K27"/>
  <sheetViews>
    <sheetView tabSelected="1" topLeftCell="A14" workbookViewId="0">
      <selection activeCell="I33" sqref="I33"/>
    </sheetView>
  </sheetViews>
  <sheetFormatPr defaultRowHeight="12.75"/>
  <cols>
    <col min="1" max="1" width="12.28515625" bestFit="1" customWidth="1"/>
    <col min="2" max="2" width="19.42578125" bestFit="1" customWidth="1"/>
    <col min="3" max="3" width="14.5703125" bestFit="1" customWidth="1"/>
    <col min="5" max="5" width="17.140625" bestFit="1" customWidth="1"/>
    <col min="8" max="8" width="17.140625" bestFit="1" customWidth="1"/>
    <col min="11" max="11" width="17.5703125" customWidth="1"/>
  </cols>
  <sheetData>
    <row r="1" spans="1:11">
      <c r="A1" s="36" t="s">
        <v>193</v>
      </c>
      <c r="B1" s="36" t="s">
        <v>911</v>
      </c>
      <c r="C1" s="36" t="s">
        <v>194</v>
      </c>
      <c r="E1" s="36" t="s">
        <v>910</v>
      </c>
      <c r="F1" t="s">
        <v>908</v>
      </c>
      <c r="K1" t="s">
        <v>1868</v>
      </c>
    </row>
    <row r="2" spans="1:11">
      <c r="A2" s="36" t="s">
        <v>30</v>
      </c>
      <c r="B2" s="36" t="s">
        <v>225</v>
      </c>
      <c r="C2" s="37" t="s">
        <v>34</v>
      </c>
      <c r="E2" s="36" t="s">
        <v>991</v>
      </c>
      <c r="F2" s="49" t="s">
        <v>1260</v>
      </c>
      <c r="H2" s="36" t="s">
        <v>991</v>
      </c>
      <c r="K2" t="s">
        <v>915</v>
      </c>
    </row>
    <row r="3" spans="1:11">
      <c r="A3" s="36" t="s">
        <v>33</v>
      </c>
      <c r="B3" s="36" t="s">
        <v>32</v>
      </c>
      <c r="C3" s="37" t="s">
        <v>31</v>
      </c>
      <c r="E3" s="36" t="s">
        <v>916</v>
      </c>
      <c r="F3" t="s">
        <v>1263</v>
      </c>
      <c r="H3" s="36" t="s">
        <v>916</v>
      </c>
      <c r="K3" t="s">
        <v>926</v>
      </c>
    </row>
    <row r="4" spans="1:11">
      <c r="A4" t="s">
        <v>466</v>
      </c>
      <c r="B4" s="36" t="s">
        <v>41</v>
      </c>
      <c r="C4" s="37" t="s">
        <v>37</v>
      </c>
      <c r="E4" s="36" t="s">
        <v>1664</v>
      </c>
      <c r="F4" t="s">
        <v>1296</v>
      </c>
      <c r="H4" s="36" t="s">
        <v>1664</v>
      </c>
      <c r="K4" t="s">
        <v>990</v>
      </c>
    </row>
    <row r="5" spans="1:11">
      <c r="B5" s="36" t="s">
        <v>1483</v>
      </c>
      <c r="C5" s="37" t="s">
        <v>40</v>
      </c>
      <c r="E5" s="36" t="s">
        <v>1869</v>
      </c>
      <c r="F5" t="s">
        <v>1284</v>
      </c>
      <c r="H5" s="36" t="s">
        <v>1869</v>
      </c>
      <c r="K5" t="s">
        <v>961</v>
      </c>
    </row>
    <row r="6" spans="1:11">
      <c r="B6" s="36" t="s">
        <v>1460</v>
      </c>
      <c r="C6" s="37" t="s">
        <v>438</v>
      </c>
      <c r="E6" t="s">
        <v>1264</v>
      </c>
      <c r="F6" t="s">
        <v>1266</v>
      </c>
      <c r="H6" t="s">
        <v>943</v>
      </c>
      <c r="K6" t="s">
        <v>1442</v>
      </c>
    </row>
    <row r="7" spans="1:11">
      <c r="B7" s="36" t="s">
        <v>35</v>
      </c>
      <c r="C7" s="37" t="s">
        <v>1870</v>
      </c>
      <c r="E7" t="s">
        <v>943</v>
      </c>
      <c r="F7" t="s">
        <v>1278</v>
      </c>
      <c r="K7" t="s">
        <v>947</v>
      </c>
    </row>
    <row r="8" spans="1:11">
      <c r="B8" s="36" t="s">
        <v>36</v>
      </c>
      <c r="C8" s="37" t="s">
        <v>1871</v>
      </c>
      <c r="F8" t="s">
        <v>1280</v>
      </c>
    </row>
    <row r="9" spans="1:11">
      <c r="B9" s="36" t="s">
        <v>39</v>
      </c>
      <c r="C9" s="37" t="s">
        <v>42</v>
      </c>
      <c r="F9" t="s">
        <v>1269</v>
      </c>
    </row>
    <row r="10" spans="1:11">
      <c r="B10" s="36" t="s">
        <v>235</v>
      </c>
      <c r="C10" s="37" t="s">
        <v>1872</v>
      </c>
      <c r="F10" t="s">
        <v>1488</v>
      </c>
    </row>
    <row r="11" spans="1:11">
      <c r="B11" t="s">
        <v>466</v>
      </c>
      <c r="C11" s="37" t="s">
        <v>1873</v>
      </c>
    </row>
    <row r="12" spans="1:11">
      <c r="C12" s="37" t="s">
        <v>1874</v>
      </c>
    </row>
    <row r="13" spans="1:11">
      <c r="C13" s="37" t="s">
        <v>1875</v>
      </c>
    </row>
    <row r="14" spans="1:11">
      <c r="C14" s="37" t="s">
        <v>1876</v>
      </c>
    </row>
    <row r="15" spans="1:11">
      <c r="C15" s="37" t="s">
        <v>1877</v>
      </c>
    </row>
    <row r="16" spans="1:11">
      <c r="C16" s="37" t="s">
        <v>1878</v>
      </c>
    </row>
    <row r="17" spans="3:3">
      <c r="C17" s="37" t="s">
        <v>1879</v>
      </c>
    </row>
    <row r="18" spans="3:3">
      <c r="C18" s="37" t="s">
        <v>1880</v>
      </c>
    </row>
    <row r="19" spans="3:3">
      <c r="C19" s="37" t="s">
        <v>1418</v>
      </c>
    </row>
    <row r="20" spans="3:3">
      <c r="C20" s="37" t="s">
        <v>224</v>
      </c>
    </row>
    <row r="21" spans="3:3">
      <c r="C21" s="37" t="s">
        <v>1881</v>
      </c>
    </row>
    <row r="22" spans="3:3">
      <c r="C22" s="37" t="s">
        <v>1882</v>
      </c>
    </row>
    <row r="23" spans="3:3">
      <c r="C23" s="37" t="s">
        <v>1883</v>
      </c>
    </row>
    <row r="24" spans="3:3">
      <c r="C24" s="37" t="s">
        <v>1884</v>
      </c>
    </row>
    <row r="25" spans="3:3">
      <c r="C25" s="37" t="s">
        <v>1885</v>
      </c>
    </row>
    <row r="26" spans="3:3">
      <c r="C26" s="37" t="s">
        <v>1886</v>
      </c>
    </row>
    <row r="27" spans="3:3">
      <c r="C27" s="37" t="s">
        <v>1887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EB62-DE1C-4786-BBB0-2C8C02AC79F2}">
  <sheetPr>
    <tabColor theme="1" tint="4.9989318521683403E-2"/>
  </sheetPr>
  <dimension ref="A1:L21"/>
  <sheetViews>
    <sheetView workbookViewId="0">
      <selection activeCell="H10" sqref="H10"/>
    </sheetView>
  </sheetViews>
  <sheetFormatPr defaultColWidth="9.140625" defaultRowHeight="12.75"/>
  <cols>
    <col min="1" max="1" width="9.140625" style="38"/>
    <col min="2" max="2" width="16.42578125" style="38" bestFit="1" customWidth="1"/>
    <col min="3" max="3" width="9.140625" style="38"/>
    <col min="4" max="4" width="9.140625" style="39"/>
    <col min="5" max="5" width="9.140625" style="38"/>
    <col min="6" max="6" width="30.5703125" style="38" customWidth="1"/>
    <col min="7" max="7" width="11.42578125" style="328" customWidth="1"/>
    <col min="8" max="8" width="9.140625" style="38"/>
    <col min="9" max="9" width="59" style="38" bestFit="1" customWidth="1"/>
    <col min="10" max="16384" width="9.140625" style="38"/>
  </cols>
  <sheetData>
    <row r="1" spans="1:12">
      <c r="A1" s="300" t="s">
        <v>1888</v>
      </c>
      <c r="B1" s="301" t="s">
        <v>1889</v>
      </c>
      <c r="C1" s="301" t="s">
        <v>49</v>
      </c>
      <c r="D1" s="302" t="s">
        <v>1890</v>
      </c>
      <c r="E1" s="301" t="s">
        <v>906</v>
      </c>
      <c r="F1" s="301" t="s">
        <v>1891</v>
      </c>
      <c r="G1" s="324" t="s">
        <v>1892</v>
      </c>
    </row>
    <row r="2" spans="1:12" ht="76.5">
      <c r="A2" s="303" t="s">
        <v>1893</v>
      </c>
      <c r="B2" s="298" t="s">
        <v>1894</v>
      </c>
      <c r="C2" s="298" t="s">
        <v>604</v>
      </c>
      <c r="D2" s="299" t="s">
        <v>1895</v>
      </c>
      <c r="E2" s="298" t="s">
        <v>1896</v>
      </c>
      <c r="F2" s="299" t="s">
        <v>1897</v>
      </c>
      <c r="G2" s="325">
        <v>15962</v>
      </c>
    </row>
    <row r="3" spans="1:12">
      <c r="A3" s="304"/>
      <c r="B3" s="296"/>
      <c r="C3" s="296"/>
      <c r="D3" s="297"/>
      <c r="E3" s="296"/>
      <c r="F3" s="296"/>
      <c r="G3" s="326"/>
    </row>
    <row r="4" spans="1:12">
      <c r="A4" s="304"/>
      <c r="B4" s="296"/>
      <c r="C4" s="296"/>
      <c r="D4" s="297"/>
      <c r="E4" s="296"/>
      <c r="F4" s="296"/>
      <c r="G4" s="326"/>
    </row>
    <row r="5" spans="1:12">
      <c r="A5" s="304"/>
      <c r="B5" s="296"/>
      <c r="C5" s="296"/>
      <c r="D5" s="297"/>
      <c r="E5" s="296"/>
      <c r="F5" s="296"/>
      <c r="G5" s="326"/>
    </row>
    <row r="6" spans="1:12">
      <c r="A6" s="304"/>
      <c r="B6" s="296"/>
      <c r="C6" s="296"/>
      <c r="D6" s="297"/>
      <c r="E6" s="296"/>
      <c r="F6" s="296"/>
      <c r="G6" s="326"/>
    </row>
    <row r="7" spans="1:12">
      <c r="A7" s="304"/>
      <c r="B7" s="296"/>
      <c r="C7" s="296"/>
      <c r="D7" s="297"/>
      <c r="E7" s="296"/>
      <c r="F7" s="296"/>
      <c r="G7" s="326"/>
    </row>
    <row r="8" spans="1:12">
      <c r="A8" s="304"/>
      <c r="B8" s="296"/>
      <c r="C8" s="296"/>
      <c r="D8" s="297"/>
      <c r="E8" s="296"/>
      <c r="F8" s="296"/>
      <c r="G8" s="326"/>
    </row>
    <row r="9" spans="1:12">
      <c r="A9" s="304"/>
      <c r="B9" s="296"/>
      <c r="C9" s="296"/>
      <c r="D9" s="297"/>
      <c r="E9" s="296"/>
      <c r="F9" s="296"/>
      <c r="G9" s="326"/>
      <c r="L9" s="295"/>
    </row>
    <row r="10" spans="1:12">
      <c r="A10" s="304"/>
      <c r="B10" s="296"/>
      <c r="C10" s="296"/>
      <c r="D10" s="297"/>
      <c r="E10" s="296"/>
      <c r="F10" s="296"/>
      <c r="G10" s="326"/>
    </row>
    <row r="11" spans="1:12">
      <c r="A11" s="304"/>
      <c r="B11" s="296"/>
      <c r="C11" s="296"/>
      <c r="D11" s="297"/>
      <c r="E11" s="296"/>
      <c r="F11" s="296"/>
      <c r="G11" s="326"/>
    </row>
    <row r="12" spans="1:12">
      <c r="A12" s="304"/>
      <c r="B12" s="296"/>
      <c r="C12" s="296"/>
      <c r="D12" s="297"/>
      <c r="E12" s="296"/>
      <c r="F12" s="296"/>
      <c r="G12" s="326"/>
    </row>
    <row r="13" spans="1:12">
      <c r="A13" s="304"/>
      <c r="B13" s="296"/>
      <c r="C13" s="296"/>
      <c r="D13" s="297"/>
      <c r="E13" s="296"/>
      <c r="F13" s="296"/>
      <c r="G13" s="326"/>
    </row>
    <row r="14" spans="1:12">
      <c r="A14" s="304"/>
      <c r="B14" s="296"/>
      <c r="C14" s="296"/>
      <c r="D14" s="297"/>
      <c r="E14" s="296"/>
      <c r="F14" s="296"/>
      <c r="G14" s="326"/>
    </row>
    <row r="15" spans="1:12">
      <c r="A15" s="304"/>
      <c r="B15" s="296"/>
      <c r="C15" s="296"/>
      <c r="D15" s="297"/>
      <c r="E15" s="296"/>
      <c r="F15" s="296"/>
      <c r="G15" s="326"/>
    </row>
    <row r="16" spans="1:12">
      <c r="A16" s="304"/>
      <c r="B16" s="296"/>
      <c r="C16" s="296"/>
      <c r="D16" s="297"/>
      <c r="E16" s="296"/>
      <c r="F16" s="296"/>
      <c r="G16" s="326"/>
    </row>
    <row r="17" spans="1:7">
      <c r="A17" s="304"/>
      <c r="B17" s="296"/>
      <c r="C17" s="296"/>
      <c r="D17" s="297"/>
      <c r="E17" s="296"/>
      <c r="F17" s="296"/>
      <c r="G17" s="326"/>
    </row>
    <row r="18" spans="1:7">
      <c r="A18" s="304"/>
      <c r="B18" s="296"/>
      <c r="C18" s="296"/>
      <c r="D18" s="297"/>
      <c r="E18" s="296"/>
      <c r="F18" s="296"/>
      <c r="G18" s="326"/>
    </row>
    <row r="19" spans="1:7">
      <c r="A19" s="304"/>
      <c r="B19" s="296"/>
      <c r="C19" s="296"/>
      <c r="D19" s="297"/>
      <c r="E19" s="296"/>
      <c r="F19" s="296"/>
      <c r="G19" s="326"/>
    </row>
    <row r="20" spans="1:7">
      <c r="A20" s="304"/>
      <c r="B20" s="296"/>
      <c r="C20" s="296"/>
      <c r="D20" s="297"/>
      <c r="E20" s="296"/>
      <c r="F20" s="296"/>
      <c r="G20" s="326"/>
    </row>
    <row r="21" spans="1:7">
      <c r="A21" s="305"/>
      <c r="B21" s="306"/>
      <c r="C21" s="306"/>
      <c r="D21" s="307"/>
      <c r="E21" s="306"/>
      <c r="F21" s="306"/>
      <c r="G21" s="3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Search</vt:lpstr>
      <vt:lpstr>Projects Follow UP</vt:lpstr>
      <vt:lpstr>Hot Leads</vt:lpstr>
      <vt:lpstr>Master Plan (2)</vt:lpstr>
      <vt:lpstr>Master Report</vt:lpstr>
      <vt:lpstr>Data Validation</vt:lpstr>
      <vt:lpstr>Won Deals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Emad Yousef</cp:lastModifiedBy>
  <cp:revision/>
  <dcterms:created xsi:type="dcterms:W3CDTF">2026-04-26T08:20:53Z</dcterms:created>
  <dcterms:modified xsi:type="dcterms:W3CDTF">2026-09-17T12:08:21Z</dcterms:modified>
  <cp:category/>
  <cp:contentStatus/>
</cp:coreProperties>
</file>